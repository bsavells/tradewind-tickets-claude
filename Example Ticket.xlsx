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Epolv\Desktop\"/>
    </mc:Choice>
  </mc:AlternateContent>
  <xr:revisionPtr revIDLastSave="0" documentId="8_{CA869396-95DB-4439-8106-CDA3E2B435C6}" xr6:coauthVersionLast="47" xr6:coauthVersionMax="47" xr10:uidLastSave="{00000000-0000-0000-0000-000000000000}"/>
  <bookViews>
    <workbookView xWindow="35880" yWindow="-120" windowWidth="29040" windowHeight="15720" xr2:uid="{00000000-000D-0000-FFFF-FFFF00000000}"/>
  </bookViews>
  <sheets>
    <sheet name="WT for Print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0" i="1" l="1"/>
  <c r="AV50" i="1" s="1"/>
  <c r="AH51" i="1"/>
  <c r="AV51" i="1" s="1"/>
  <c r="AM35" i="1"/>
  <c r="Q35" i="1"/>
  <c r="AV35" i="1"/>
  <c r="AV46" i="1"/>
  <c r="T46" i="1"/>
  <c r="AV45" i="1"/>
  <c r="T45" i="1"/>
  <c r="AM41" i="1"/>
  <c r="Q41" i="1"/>
  <c r="AM39" i="1"/>
  <c r="Q39" i="1"/>
  <c r="AM37" i="1"/>
  <c r="Q37" i="1"/>
  <c r="AU29" i="1"/>
  <c r="AU28" i="1"/>
  <c r="AU27" i="1"/>
  <c r="AU26" i="1"/>
  <c r="AU25" i="1"/>
  <c r="AU24" i="1"/>
  <c r="AU23" i="1"/>
  <c r="AU22" i="1"/>
  <c r="AU21" i="1"/>
  <c r="AU20" i="1"/>
  <c r="AU19" i="1"/>
  <c r="AU18" i="1"/>
  <c r="AU17" i="1"/>
  <c r="AU16" i="1"/>
  <c r="AU15" i="1"/>
  <c r="AU14" i="1"/>
  <c r="AV41" i="1"/>
  <c r="AV39" i="1"/>
  <c r="AV37" i="1"/>
  <c r="AU30" i="1"/>
  <c r="AU55" i="1" l="1"/>
</calcChain>
</file>

<file path=xl/sharedStrings.xml><?xml version="1.0" encoding="utf-8"?>
<sst xmlns="http://schemas.openxmlformats.org/spreadsheetml/2006/main" count="111" uniqueCount="60">
  <si>
    <t>Tradewind Controls | Work Ticket</t>
  </si>
  <si>
    <t xml:space="preserve">High Peak Energy </t>
  </si>
  <si>
    <t>Michael Williamson</t>
  </si>
  <si>
    <t>Service Call</t>
  </si>
  <si>
    <t>Griffin 39 Battery</t>
  </si>
  <si>
    <t>Water Tank 1</t>
  </si>
  <si>
    <t>Customer</t>
  </si>
  <si>
    <t>Requestor</t>
  </si>
  <si>
    <t>Job #</t>
  </si>
  <si>
    <t>Job Location</t>
  </si>
  <si>
    <t>Job Problem/Description</t>
  </si>
  <si>
    <t>Date</t>
  </si>
  <si>
    <t>Description of work performed</t>
  </si>
  <si>
    <t>Connected to the program and disbaled the Water Tank 1 HiHi Level Alarm and ESP Kill due to the tank being swapped. Once the alarm was disabled, removed the Radar from the tank and placed to the side ready for the new tank.</t>
  </si>
  <si>
    <t>MATERIAL</t>
  </si>
  <si>
    <t>Qty</t>
  </si>
  <si>
    <t>Part Number</t>
  </si>
  <si>
    <t>Description</t>
  </si>
  <si>
    <t>Price Each $</t>
  </si>
  <si>
    <t>Total $</t>
  </si>
  <si>
    <t>Emerson Wireless Tank Radar  30ft Probe</t>
  </si>
  <si>
    <t>First Name</t>
  </si>
  <si>
    <t>Last Name</t>
  </si>
  <si>
    <t>Classification #</t>
  </si>
  <si>
    <t>Start Time</t>
  </si>
  <si>
    <t>End Time</t>
  </si>
  <si>
    <t>Isaiah</t>
  </si>
  <si>
    <t>Castillo</t>
  </si>
  <si>
    <t>Sr. Tech</t>
  </si>
  <si>
    <t>x</t>
  </si>
  <si>
    <t>am</t>
  </si>
  <si>
    <t>pm</t>
  </si>
  <si>
    <t>Reg Hrs</t>
  </si>
  <si>
    <t>@</t>
  </si>
  <si>
    <t>=</t>
  </si>
  <si>
    <t>OT Hrs</t>
  </si>
  <si>
    <t xml:space="preserve">Alex </t>
  </si>
  <si>
    <t>Escontrias</t>
  </si>
  <si>
    <t>Jr. Tech</t>
  </si>
  <si>
    <t>Equip #</t>
  </si>
  <si>
    <t>Hrs</t>
  </si>
  <si>
    <t>Rate $</t>
  </si>
  <si>
    <t>(1)</t>
  </si>
  <si>
    <t>(2)</t>
  </si>
  <si>
    <t>(3)</t>
  </si>
  <si>
    <t>(4)</t>
  </si>
  <si>
    <t>Vehicle Type</t>
  </si>
  <si>
    <t>Mileage Start</t>
  </si>
  <si>
    <t>Mileage End</t>
  </si>
  <si>
    <t>Total Miles</t>
  </si>
  <si>
    <t>Total Mlg $</t>
  </si>
  <si>
    <t>Grand Total $</t>
  </si>
  <si>
    <t>X</t>
  </si>
  <si>
    <t>Solomon Chan</t>
  </si>
  <si>
    <t xml:space="preserve"> Open</t>
  </si>
  <si>
    <t xml:space="preserve"> Close</t>
  </si>
  <si>
    <t>Customer Signature</t>
  </si>
  <si>
    <t>Supervisor Signature</t>
  </si>
  <si>
    <t xml:space="preserve"> B</t>
  </si>
  <si>
    <t xml:space="preserve">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</si>
</sst>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 dddd"/>
    <numFmt numFmtId="165" formatCode="&quot;$&quot;#,##0.00"/>
    <numFmt numFmtId="166" formatCode="_(* #,##0.00_);_(* \(#,##0.00\);_(* &quot; &quot;_);_(@_)"/>
    <numFmt numFmtId="167" formatCode="_(* #,##0_);_(* \(#,##0\);_(* &quot; &quot;_);_(@_)"/>
    <numFmt numFmtId="168" formatCode="mm\-dd\-yy;@"/>
  </numFmts>
  <fonts count="15" x14ac:knownFonts="1">
    <font>
      <sz val="10"/>
      <name val="Arial"/>
    </font>
    <font>
      <b/>
      <sz val="10"/>
      <name val="Arial"/>
      <family val="2"/>
    </font>
    <font>
      <sz val="9"/>
      <color rgb="FF0070C0"/>
      <name val="Arial"/>
      <family val="2"/>
    </font>
    <font>
      <sz val="9"/>
      <name val="Arial"/>
      <family val="2"/>
    </font>
    <font>
      <sz val="7"/>
      <name val="Arial"/>
      <family val="2"/>
    </font>
    <font>
      <i/>
      <sz val="9"/>
      <name val="Arial"/>
      <family val="2"/>
    </font>
    <font>
      <sz val="10"/>
      <name val="Arial"/>
      <family val="2"/>
    </font>
    <font>
      <i/>
      <sz val="9"/>
      <color rgb="FFFF0000"/>
      <name val="Arial"/>
      <family val="2"/>
    </font>
    <font>
      <i/>
      <sz val="9"/>
      <color rgb="FF0070C0"/>
      <name val="Arial"/>
      <family val="2"/>
    </font>
    <font>
      <i/>
      <sz val="8"/>
      <name val="Arial"/>
      <family val="2"/>
    </font>
    <font>
      <sz val="8"/>
      <name val="Arial"/>
      <family val="2"/>
    </font>
    <font>
      <b/>
      <sz val="10"/>
      <name val="Verdana"/>
      <family val="2"/>
    </font>
    <font>
      <sz val="8.5"/>
      <color rgb="FF0070C0"/>
      <name val="Arial"/>
      <family val="2"/>
    </font>
    <font>
      <sz val="9"/>
      <color theme="4"/>
      <name val="Arial"/>
      <family val="2"/>
    </font>
    <font>
      <b/>
      <sz val="14"/>
      <name val="Lucida Handwriting"/>
      <family val="4"/>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ck">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8">
    <xf numFmtId="0" fontId="0" fillId="0" borderId="0" xfId="0"/>
    <xf numFmtId="0" fontId="3" fillId="0" borderId="0" xfId="0" applyFont="1"/>
    <xf numFmtId="0" fontId="3" fillId="0" borderId="0" xfId="0" quotePrefix="1" applyFont="1"/>
    <xf numFmtId="0" fontId="4" fillId="0" borderId="0" xfId="0" applyFont="1"/>
    <xf numFmtId="0" fontId="3" fillId="0" borderId="0" xfId="0" applyFont="1" applyAlignment="1">
      <alignment horizontal="left"/>
    </xf>
    <xf numFmtId="0" fontId="3" fillId="0" borderId="0" xfId="0" applyFont="1" applyAlignment="1">
      <alignment vertical="center"/>
    </xf>
    <xf numFmtId="0" fontId="3" fillId="0" borderId="0" xfId="0" applyFont="1" applyAlignment="1">
      <alignment horizontal="right"/>
    </xf>
    <xf numFmtId="0" fontId="3" fillId="0" borderId="0" xfId="0" applyFont="1" applyAlignment="1">
      <alignment horizontal="right" vertical="center"/>
    </xf>
    <xf numFmtId="3" fontId="2" fillId="0" borderId="0" xfId="0" applyNumberFormat="1" applyFont="1" applyAlignment="1">
      <alignment vertical="center"/>
    </xf>
    <xf numFmtId="0" fontId="0" fillId="0" borderId="0" xfId="0" applyAlignment="1">
      <alignment horizontal="right" vertical="center"/>
    </xf>
    <xf numFmtId="0" fontId="5" fillId="0" borderId="4" xfId="0" applyFont="1" applyBorder="1"/>
    <xf numFmtId="0" fontId="5" fillId="0" borderId="4" xfId="0" applyFont="1" applyBorder="1" applyAlignment="1">
      <alignment horizontal="left"/>
    </xf>
    <xf numFmtId="2" fontId="5" fillId="0" borderId="4" xfId="0" applyNumberFormat="1" applyFont="1" applyBorder="1" applyAlignment="1">
      <alignment horizontal="center"/>
    </xf>
    <xf numFmtId="0" fontId="5" fillId="0" borderId="4" xfId="0" applyFont="1" applyBorder="1" applyAlignment="1">
      <alignment horizontal="center"/>
    </xf>
    <xf numFmtId="165" fontId="5" fillId="0" borderId="4" xfId="0" quotePrefix="1" applyNumberFormat="1" applyFont="1" applyBorder="1" applyAlignment="1">
      <alignment horizontal="center"/>
    </xf>
    <xf numFmtId="0" fontId="5" fillId="0" borderId="4" xfId="0" quotePrefix="1" applyFont="1" applyBorder="1" applyAlignment="1">
      <alignment horizontal="center"/>
    </xf>
    <xf numFmtId="0" fontId="5" fillId="0" borderId="4" xfId="0" applyFont="1" applyBorder="1" applyAlignment="1">
      <alignment horizontal="right"/>
    </xf>
    <xf numFmtId="0" fontId="6" fillId="0" borderId="0" xfId="0" applyFont="1"/>
    <xf numFmtId="0" fontId="8" fillId="2" borderId="2" xfId="0" applyFont="1" applyFill="1" applyBorder="1" applyAlignment="1">
      <alignment horizontal="center"/>
    </xf>
    <xf numFmtId="0" fontId="8" fillId="2" borderId="2" xfId="0" applyFont="1" applyFill="1" applyBorder="1"/>
    <xf numFmtId="0" fontId="5" fillId="2" borderId="0" xfId="0" applyFont="1" applyFill="1"/>
    <xf numFmtId="0" fontId="8" fillId="2" borderId="0" xfId="0" applyFont="1" applyFill="1"/>
    <xf numFmtId="166" fontId="7" fillId="2" borderId="0" xfId="0" applyNumberFormat="1" applyFont="1" applyFill="1"/>
    <xf numFmtId="0" fontId="3" fillId="0" borderId="0" xfId="0" applyFont="1" applyAlignment="1">
      <alignment horizontal="center"/>
    </xf>
    <xf numFmtId="20" fontId="3" fillId="0" borderId="0" xfId="0" applyNumberFormat="1" applyFont="1" applyAlignment="1">
      <alignment horizontal="center"/>
    </xf>
    <xf numFmtId="0" fontId="2" fillId="0" borderId="1" xfId="0" applyFont="1" applyBorder="1" applyAlignment="1" applyProtection="1">
      <alignment horizontal="center"/>
      <protection locked="0"/>
    </xf>
    <xf numFmtId="0" fontId="3" fillId="0" borderId="2" xfId="0" applyFont="1" applyBorder="1" applyAlignment="1">
      <alignment horizontal="left"/>
    </xf>
    <xf numFmtId="0" fontId="2" fillId="0" borderId="3" xfId="0" applyFont="1" applyBorder="1" applyAlignment="1" applyProtection="1">
      <alignment horizontal="center"/>
      <protection locked="0"/>
    </xf>
    <xf numFmtId="0" fontId="9" fillId="2" borderId="2" xfId="0" quotePrefix="1" applyFont="1" applyFill="1" applyBorder="1" applyAlignment="1">
      <alignment horizontal="center"/>
    </xf>
    <xf numFmtId="0" fontId="5" fillId="2" borderId="0" xfId="0" quotePrefix="1" applyFont="1" applyFill="1" applyAlignment="1">
      <alignment horizontal="center"/>
    </xf>
    <xf numFmtId="0" fontId="9" fillId="2" borderId="0" xfId="0" quotePrefix="1" applyFont="1" applyFill="1" applyAlignment="1">
      <alignment horizontal="center"/>
    </xf>
    <xf numFmtId="0" fontId="3" fillId="0" borderId="2" xfId="0" applyFont="1" applyBorder="1" applyAlignment="1">
      <alignment horizontal="center"/>
    </xf>
    <xf numFmtId="165" fontId="7" fillId="2" borderId="0" xfId="0" quotePrefix="1" applyNumberFormat="1" applyFont="1" applyFill="1"/>
    <xf numFmtId="0" fontId="2" fillId="0" borderId="0" xfId="0" applyFont="1" applyAlignment="1">
      <alignment horizontal="center"/>
    </xf>
    <xf numFmtId="0" fontId="5" fillId="0" borderId="0" xfId="0" applyFont="1"/>
    <xf numFmtId="0" fontId="10" fillId="0" borderId="0" xfId="0" applyFont="1"/>
    <xf numFmtId="0" fontId="10" fillId="0" borderId="1" xfId="0" applyFont="1" applyBorder="1" applyAlignment="1" applyProtection="1">
      <alignment horizontal="center"/>
      <protection locked="0"/>
    </xf>
    <xf numFmtId="0" fontId="10" fillId="0" borderId="0" xfId="0" applyFont="1" applyAlignment="1">
      <alignment horizontal="center"/>
    </xf>
    <xf numFmtId="0" fontId="10" fillId="0" borderId="3" xfId="0" applyFont="1" applyBorder="1" applyAlignment="1" applyProtection="1">
      <alignment horizontal="center"/>
      <protection locked="0"/>
    </xf>
    <xf numFmtId="0" fontId="2" fillId="0" borderId="0" xfId="0" applyFont="1" applyAlignment="1">
      <alignment horizontal="right"/>
    </xf>
    <xf numFmtId="0" fontId="11" fillId="0" borderId="0" xfId="0" applyFont="1" applyAlignment="1">
      <alignment horizontal="center" vertical="top"/>
    </xf>
    <xf numFmtId="0" fontId="1" fillId="0" borderId="0" xfId="0" applyFont="1" applyAlignment="1">
      <alignment horizontal="center" vertical="top"/>
    </xf>
    <xf numFmtId="0" fontId="2" fillId="0" borderId="1" xfId="0" applyFont="1" applyBorder="1" applyAlignment="1" applyProtection="1">
      <alignment horizontal="center"/>
      <protection locked="0"/>
    </xf>
    <xf numFmtId="0" fontId="12" fillId="0" borderId="1" xfId="0" applyFont="1" applyBorder="1" applyAlignment="1" applyProtection="1">
      <alignment horizontal="center"/>
      <protection locked="0"/>
    </xf>
    <xf numFmtId="0" fontId="3" fillId="0" borderId="1" xfId="0" applyFont="1" applyBorder="1" applyAlignment="1">
      <alignment horizontal="center"/>
    </xf>
    <xf numFmtId="0" fontId="4" fillId="0" borderId="2" xfId="0" applyFont="1" applyBorder="1" applyAlignment="1">
      <alignment horizontal="center"/>
    </xf>
    <xf numFmtId="164" fontId="2" fillId="0" borderId="1" xfId="0" applyNumberFormat="1" applyFont="1" applyBorder="1" applyAlignment="1" applyProtection="1">
      <alignment horizontal="center"/>
      <protection locked="0"/>
    </xf>
    <xf numFmtId="0" fontId="12" fillId="0" borderId="0" xfId="0" applyFont="1" applyAlignment="1" applyProtection="1">
      <alignment horizontal="left" vertical="top" wrapText="1"/>
      <protection locked="0"/>
    </xf>
    <xf numFmtId="0" fontId="12" fillId="0" borderId="1" xfId="0" applyFont="1" applyBorder="1" applyAlignment="1" applyProtection="1">
      <alignment horizontal="left" vertical="top" wrapText="1"/>
      <protection locked="0"/>
    </xf>
    <xf numFmtId="0" fontId="3" fillId="0" borderId="3"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5" fillId="2" borderId="6" xfId="0"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0" fontId="13" fillId="0" borderId="3" xfId="0" applyFont="1" applyBorder="1" applyAlignment="1">
      <alignment horizontal="center"/>
    </xf>
    <xf numFmtId="0" fontId="13" fillId="0" borderId="5" xfId="0" applyFont="1" applyBorder="1" applyAlignment="1">
      <alignment horizontal="center"/>
    </xf>
    <xf numFmtId="0" fontId="13" fillId="0" borderId="6" xfId="0" applyFont="1" applyBorder="1" applyAlignment="1">
      <alignment horizontal="left" indent="1"/>
    </xf>
    <xf numFmtId="0" fontId="13" fillId="0" borderId="3" xfId="0" applyFont="1" applyBorder="1" applyAlignment="1">
      <alignment horizontal="left" indent="1"/>
    </xf>
    <xf numFmtId="0" fontId="13" fillId="0" borderId="5" xfId="0" applyFont="1" applyBorder="1" applyAlignment="1">
      <alignment horizontal="left" indent="1"/>
    </xf>
    <xf numFmtId="166" fontId="7" fillId="2" borderId="6" xfId="0" applyNumberFormat="1" applyFont="1" applyFill="1" applyBorder="1" applyAlignment="1">
      <alignment horizontal="center"/>
    </xf>
    <xf numFmtId="166" fontId="7" fillId="2" borderId="3" xfId="0" applyNumberFormat="1" applyFont="1" applyFill="1" applyBorder="1" applyAlignment="1">
      <alignment horizontal="center"/>
    </xf>
    <xf numFmtId="0" fontId="2" fillId="0" borderId="3" xfId="0" applyFont="1" applyBorder="1" applyAlignment="1" applyProtection="1">
      <alignment horizontal="center"/>
      <protection locked="0"/>
    </xf>
    <xf numFmtId="0" fontId="2" fillId="0" borderId="5" xfId="0" applyFont="1" applyBorder="1" applyAlignment="1" applyProtection="1">
      <alignment horizontal="center"/>
      <protection locked="0"/>
    </xf>
    <xf numFmtId="49" fontId="2" fillId="0" borderId="6" xfId="0" applyNumberFormat="1" applyFont="1" applyBorder="1" applyAlignment="1" applyProtection="1">
      <alignment horizontal="left" indent="1"/>
      <protection locked="0"/>
    </xf>
    <xf numFmtId="49" fontId="2" fillId="0" borderId="3" xfId="0" applyNumberFormat="1" applyFont="1" applyBorder="1" applyAlignment="1" applyProtection="1">
      <alignment horizontal="left" indent="1"/>
      <protection locked="0"/>
    </xf>
    <xf numFmtId="49" fontId="2" fillId="0" borderId="5" xfId="0" applyNumberFormat="1" applyFont="1" applyBorder="1" applyAlignment="1" applyProtection="1">
      <alignment horizontal="left" indent="1"/>
      <protection locked="0"/>
    </xf>
    <xf numFmtId="0" fontId="2" fillId="0" borderId="6" xfId="0" applyFont="1" applyBorder="1" applyAlignment="1" applyProtection="1">
      <alignment horizontal="left" indent="1"/>
      <protection locked="0"/>
    </xf>
    <xf numFmtId="0" fontId="2" fillId="0" borderId="3" xfId="0" applyFont="1" applyBorder="1" applyAlignment="1" applyProtection="1">
      <alignment horizontal="left" indent="1"/>
      <protection locked="0"/>
    </xf>
    <xf numFmtId="0" fontId="2" fillId="0" borderId="5" xfId="0" applyFont="1" applyBorder="1" applyAlignment="1" applyProtection="1">
      <alignment horizontal="left" indent="1"/>
      <protection locked="0"/>
    </xf>
    <xf numFmtId="166" fontId="7" fillId="2" borderId="5" xfId="0" applyNumberFormat="1" applyFont="1" applyFill="1" applyBorder="1" applyAlignment="1">
      <alignment horizontal="center"/>
    </xf>
    <xf numFmtId="0" fontId="2" fillId="2" borderId="6" xfId="0" applyFont="1" applyFill="1" applyBorder="1" applyAlignment="1" applyProtection="1">
      <alignment horizontal="left" indent="1"/>
      <protection locked="0"/>
    </xf>
    <xf numFmtId="0" fontId="2" fillId="2" borderId="3" xfId="0" applyFont="1" applyFill="1" applyBorder="1" applyAlignment="1" applyProtection="1">
      <alignment horizontal="left" indent="1"/>
      <protection locked="0"/>
    </xf>
    <xf numFmtId="0" fontId="2" fillId="2" borderId="5" xfId="0" applyFont="1" applyFill="1" applyBorder="1" applyAlignment="1" applyProtection="1">
      <alignment horizontal="left" indent="1"/>
      <protection locked="0"/>
    </xf>
    <xf numFmtId="0" fontId="13" fillId="0" borderId="3" xfId="0" applyFont="1" applyBorder="1" applyAlignment="1" applyProtection="1">
      <alignment horizontal="left"/>
      <protection locked="0"/>
    </xf>
    <xf numFmtId="0" fontId="2" fillId="0" borderId="3" xfId="0" applyFont="1" applyBorder="1" applyAlignment="1" applyProtection="1">
      <alignment horizontal="left"/>
      <protection locked="0"/>
    </xf>
    <xf numFmtId="20" fontId="2" fillId="0" borderId="3" xfId="0" applyNumberFormat="1" applyFont="1" applyBorder="1" applyAlignment="1" applyProtection="1">
      <alignment horizontal="center"/>
      <protection locked="0"/>
    </xf>
    <xf numFmtId="166" fontId="7" fillId="2" borderId="1" xfId="0" applyNumberFormat="1" applyFont="1" applyFill="1" applyBorder="1" applyAlignment="1">
      <alignment horizontal="center"/>
    </xf>
    <xf numFmtId="0" fontId="9" fillId="2" borderId="2" xfId="0" quotePrefix="1" applyFont="1" applyFill="1" applyBorder="1" applyAlignment="1">
      <alignment horizontal="center"/>
    </xf>
    <xf numFmtId="0" fontId="9" fillId="2" borderId="0" xfId="0" applyFont="1" applyFill="1" applyAlignment="1">
      <alignment horizontal="center"/>
    </xf>
    <xf numFmtId="0" fontId="9" fillId="2" borderId="2" xfId="0" applyFont="1" applyFill="1" applyBorder="1" applyAlignment="1">
      <alignment horizontal="right"/>
    </xf>
    <xf numFmtId="0" fontId="2" fillId="0" borderId="1" xfId="0" applyFont="1" applyBorder="1" applyAlignment="1" applyProtection="1">
      <alignment horizontal="left"/>
      <protection locked="0"/>
    </xf>
    <xf numFmtId="20" fontId="2" fillId="0" borderId="1" xfId="0" applyNumberFormat="1" applyFont="1" applyBorder="1" applyAlignment="1" applyProtection="1">
      <alignment horizontal="center"/>
      <protection locked="0"/>
    </xf>
    <xf numFmtId="0" fontId="5" fillId="2" borderId="1" xfId="0" applyFont="1" applyFill="1" applyBorder="1" applyAlignment="1">
      <alignment horizontal="center"/>
    </xf>
    <xf numFmtId="49" fontId="2" fillId="0" borderId="3" xfId="0" applyNumberFormat="1" applyFont="1" applyBorder="1" applyAlignment="1" applyProtection="1">
      <alignment horizontal="center"/>
      <protection locked="0"/>
    </xf>
    <xf numFmtId="166" fontId="8" fillId="0" borderId="3" xfId="0" applyNumberFormat="1" applyFont="1" applyBorder="1" applyAlignment="1" applyProtection="1">
      <alignment horizontal="center"/>
      <protection locked="0"/>
    </xf>
    <xf numFmtId="0" fontId="3" fillId="0" borderId="0" xfId="0" quotePrefix="1" applyFont="1" applyAlignment="1">
      <alignment horizontal="center"/>
    </xf>
    <xf numFmtId="0" fontId="3" fillId="0" borderId="2" xfId="0" quotePrefix="1" applyFont="1" applyBorder="1" applyAlignment="1">
      <alignment horizontal="center"/>
    </xf>
    <xf numFmtId="166" fontId="7" fillId="2" borderId="3" xfId="0" applyNumberFormat="1" applyFont="1" applyFill="1" applyBorder="1" applyAlignment="1">
      <alignment horizontal="right"/>
    </xf>
    <xf numFmtId="167" fontId="2" fillId="0" borderId="3" xfId="0" applyNumberFormat="1" applyFont="1" applyBorder="1" applyAlignment="1" applyProtection="1">
      <alignment horizontal="right"/>
      <protection locked="0"/>
    </xf>
    <xf numFmtId="167" fontId="7" fillId="2" borderId="3" xfId="0" applyNumberFormat="1" applyFont="1" applyFill="1" applyBorder="1" applyAlignment="1">
      <alignment horizontal="right"/>
    </xf>
    <xf numFmtId="0" fontId="10" fillId="0" borderId="2" xfId="0" applyFont="1" applyBorder="1" applyAlignment="1">
      <alignment horizontal="center"/>
    </xf>
    <xf numFmtId="0" fontId="5" fillId="2" borderId="0" xfId="0" applyFont="1" applyFill="1" applyAlignment="1">
      <alignment horizontal="center"/>
    </xf>
    <xf numFmtId="0" fontId="10" fillId="0" borderId="1" xfId="0" applyFont="1" applyBorder="1" applyAlignment="1">
      <alignment horizontal="center"/>
    </xf>
    <xf numFmtId="168" fontId="10" fillId="0" borderId="1" xfId="0" applyNumberFormat="1" applyFont="1" applyBorder="1" applyAlignment="1">
      <alignment horizontal="center"/>
    </xf>
    <xf numFmtId="0" fontId="14" fillId="0" borderId="1" xfId="0" applyFont="1" applyBorder="1" applyAlignment="1" applyProtection="1">
      <alignment horizontal="center"/>
      <protection locked="0"/>
    </xf>
    <xf numFmtId="0" fontId="10" fillId="0" borderId="1" xfId="0" applyFont="1" applyBorder="1" applyAlignment="1" applyProtection="1">
      <alignment horizontal="center"/>
      <protection locked="0"/>
    </xf>
    <xf numFmtId="168" fontId="10" fillId="0" borderId="1" xfId="0" applyNumberFormat="1" applyFont="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99060</xdr:colOff>
      <xdr:row>53</xdr:row>
      <xdr:rowOff>68580</xdr:rowOff>
    </xdr:from>
    <xdr:to>
      <xdr:col>29</xdr:col>
      <xdr:colOff>76200</xdr:colOff>
      <xdr:row>55</xdr:row>
      <xdr:rowOff>99060</xdr:rowOff>
    </xdr:to>
    <xdr:sp macro="" textlink="">
      <xdr:nvSpPr>
        <xdr:cNvPr id="2" name="TextBox 1">
          <a:extLst>
            <a:ext uri="{FF2B5EF4-FFF2-40B4-BE49-F238E27FC236}">
              <a16:creationId xmlns:a16="http://schemas.microsoft.com/office/drawing/2014/main" id="{8C5061D1-1895-475A-BAA5-F282F44A977E}"/>
            </a:ext>
          </a:extLst>
        </xdr:cNvPr>
        <xdr:cNvSpPr txBox="1"/>
      </xdr:nvSpPr>
      <xdr:spPr>
        <a:xfrm>
          <a:off x="219710" y="8190230"/>
          <a:ext cx="3355340" cy="35433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0" baseline="0">
              <a:solidFill>
                <a:sysClr val="windowText" lastClr="000000"/>
              </a:solidFill>
            </a:rPr>
            <a:t>This work ticket is not an invoice. All prices and hours are validated in our corporate office where an invoice is generated. Please pay from the invoice.</a:t>
          </a:r>
        </a:p>
        <a:p>
          <a:endParaRPr lang="en-US" sz="1100" b="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A61"/>
  <sheetViews>
    <sheetView tabSelected="1" zoomScale="172" zoomScaleNormal="172" workbookViewId="0">
      <selection activeCell="BF38" sqref="BF38"/>
    </sheetView>
  </sheetViews>
  <sheetFormatPr defaultColWidth="8.81640625" defaultRowHeight="12.5" x14ac:dyDescent="0.25"/>
  <cols>
    <col min="1" max="53" width="1.7265625" customWidth="1"/>
  </cols>
  <sheetData>
    <row r="1" spans="1:53" ht="20.5" customHeight="1" x14ac:dyDescent="0.25">
      <c r="A1" s="40" t="s">
        <v>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row>
    <row r="2" spans="1:53" ht="14.5" customHeight="1" x14ac:dyDescent="0.25">
      <c r="A2" s="42" t="s">
        <v>1</v>
      </c>
      <c r="B2" s="42"/>
      <c r="C2" s="42"/>
      <c r="D2" s="42"/>
      <c r="E2" s="42"/>
      <c r="F2" s="42"/>
      <c r="G2" s="42"/>
      <c r="H2" s="42"/>
      <c r="I2" s="42"/>
      <c r="J2" s="1"/>
      <c r="K2" s="42" t="s">
        <v>2</v>
      </c>
      <c r="L2" s="42"/>
      <c r="M2" s="42"/>
      <c r="N2" s="42"/>
      <c r="O2" s="42"/>
      <c r="P2" s="42"/>
      <c r="Q2" s="42"/>
      <c r="R2" s="42"/>
      <c r="S2" s="42"/>
      <c r="T2" s="2"/>
      <c r="U2" s="42" t="s">
        <v>3</v>
      </c>
      <c r="V2" s="42"/>
      <c r="W2" s="42"/>
      <c r="X2" s="42"/>
      <c r="Y2" s="42"/>
      <c r="Z2" s="42"/>
      <c r="AA2" s="42"/>
      <c r="AB2" s="42"/>
      <c r="AC2" s="42"/>
      <c r="AD2" s="1"/>
      <c r="AE2" s="42" t="s">
        <v>4</v>
      </c>
      <c r="AF2" s="42"/>
      <c r="AG2" s="42"/>
      <c r="AH2" s="42"/>
      <c r="AI2" s="42"/>
      <c r="AJ2" s="42"/>
      <c r="AK2" s="42"/>
      <c r="AL2" s="42"/>
      <c r="AM2" s="42"/>
      <c r="AN2" s="42"/>
      <c r="AO2" s="1"/>
      <c r="AP2" s="43" t="s">
        <v>5</v>
      </c>
      <c r="AQ2" s="43"/>
      <c r="AR2" s="43"/>
      <c r="AS2" s="43"/>
      <c r="AT2" s="43"/>
      <c r="AU2" s="43"/>
      <c r="AV2" s="43"/>
      <c r="AW2" s="43"/>
      <c r="AX2" s="43"/>
      <c r="AY2" s="43"/>
      <c r="AZ2" s="43"/>
      <c r="BA2" s="43"/>
    </row>
    <row r="3" spans="1:53" s="3" customFormat="1" ht="9.65" customHeight="1" x14ac:dyDescent="0.2">
      <c r="A3" s="45" t="s">
        <v>6</v>
      </c>
      <c r="B3" s="45"/>
      <c r="C3" s="45"/>
      <c r="D3" s="45"/>
      <c r="E3" s="45"/>
      <c r="F3" s="45"/>
      <c r="G3" s="45"/>
      <c r="H3" s="45"/>
      <c r="I3" s="45"/>
      <c r="K3" s="45" t="s">
        <v>7</v>
      </c>
      <c r="L3" s="45"/>
      <c r="M3" s="45"/>
      <c r="N3" s="45"/>
      <c r="O3" s="45"/>
      <c r="P3" s="45"/>
      <c r="Q3" s="45"/>
      <c r="R3" s="45"/>
      <c r="S3" s="45"/>
      <c r="U3" s="45" t="s">
        <v>8</v>
      </c>
      <c r="V3" s="45"/>
      <c r="W3" s="45"/>
      <c r="X3" s="45"/>
      <c r="Y3" s="45"/>
      <c r="Z3" s="45"/>
      <c r="AA3" s="45"/>
      <c r="AB3" s="45"/>
      <c r="AC3" s="45"/>
      <c r="AE3" s="45" t="s">
        <v>9</v>
      </c>
      <c r="AF3" s="45"/>
      <c r="AG3" s="45"/>
      <c r="AH3" s="45"/>
      <c r="AI3" s="45"/>
      <c r="AJ3" s="45"/>
      <c r="AK3" s="45"/>
      <c r="AL3" s="45"/>
      <c r="AM3" s="45"/>
      <c r="AN3" s="45"/>
      <c r="AP3" s="45" t="s">
        <v>10</v>
      </c>
      <c r="AQ3" s="45"/>
      <c r="AR3" s="45"/>
      <c r="AS3" s="45"/>
      <c r="AT3" s="45"/>
      <c r="AU3" s="45"/>
      <c r="AV3" s="45"/>
      <c r="AW3" s="45"/>
      <c r="AX3" s="45"/>
      <c r="AY3" s="45"/>
      <c r="AZ3" s="45"/>
      <c r="BA3" s="45"/>
    </row>
    <row r="4" spans="1:53" s="9" customFormat="1" ht="17.149999999999999" customHeight="1" x14ac:dyDescent="0.25">
      <c r="A4" s="4" t="s">
        <v>11</v>
      </c>
      <c r="B4" s="5"/>
      <c r="C4" s="6"/>
      <c r="D4" s="46">
        <v>46111</v>
      </c>
      <c r="E4" s="46"/>
      <c r="F4" s="46"/>
      <c r="G4" s="46"/>
      <c r="H4" s="46"/>
      <c r="I4" s="46"/>
      <c r="J4" s="46"/>
      <c r="K4" s="46"/>
      <c r="L4" s="46"/>
      <c r="M4" s="46"/>
      <c r="N4" s="46"/>
      <c r="O4" s="1"/>
      <c r="P4" s="1" t="s">
        <v>12</v>
      </c>
      <c r="Q4" s="7"/>
      <c r="R4" s="7"/>
      <c r="S4" s="7"/>
      <c r="T4" s="7"/>
      <c r="U4" s="7"/>
      <c r="V4" s="5"/>
      <c r="W4" s="5"/>
      <c r="X4" s="7"/>
      <c r="Y4" s="5"/>
      <c r="Z4" s="5"/>
      <c r="AA4" s="8"/>
      <c r="AB4" s="8"/>
      <c r="AC4" s="5"/>
      <c r="AD4" s="42"/>
      <c r="AE4" s="42"/>
      <c r="AF4" s="42"/>
      <c r="AG4" s="42"/>
      <c r="AH4" s="42"/>
      <c r="AI4" s="42"/>
      <c r="AJ4" s="42"/>
      <c r="AK4" s="42"/>
      <c r="AL4" s="42"/>
      <c r="AM4" s="42"/>
      <c r="AN4" s="42"/>
      <c r="AO4" s="42"/>
      <c r="AP4" s="42"/>
      <c r="AQ4" s="42"/>
      <c r="AR4" s="42"/>
      <c r="AS4" s="42"/>
      <c r="AT4" s="42"/>
      <c r="AU4" s="42"/>
      <c r="AV4" s="42"/>
      <c r="AW4" s="42"/>
      <c r="AX4" s="42"/>
      <c r="AY4" s="42"/>
      <c r="AZ4" s="42"/>
      <c r="BA4" s="42"/>
    </row>
    <row r="5" spans="1:53" ht="14.15" customHeight="1" x14ac:dyDescent="0.25">
      <c r="A5" s="47" t="s">
        <v>13</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row>
    <row r="6" spans="1:53" ht="13.15" customHeight="1" x14ac:dyDescent="0.25">
      <c r="A6" s="47"/>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row>
    <row r="7" spans="1:53" ht="13.15" customHeight="1" x14ac:dyDescent="0.25">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row>
    <row r="8" spans="1:53" ht="13.15" customHeight="1" x14ac:dyDescent="0.25">
      <c r="A8" s="47"/>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row>
    <row r="9" spans="1:53" ht="18.75" customHeight="1" x14ac:dyDescent="0.25">
      <c r="A9" s="48"/>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row>
    <row r="10" spans="1:53" s="17" customFormat="1" ht="5.5" customHeight="1" thickBot="1" x14ac:dyDescent="0.35">
      <c r="A10" s="10"/>
      <c r="B10" s="11"/>
      <c r="C10" s="11"/>
      <c r="D10" s="11"/>
      <c r="E10" s="11"/>
      <c r="F10" s="12"/>
      <c r="G10" s="12"/>
      <c r="H10" s="12"/>
      <c r="I10" s="12"/>
      <c r="J10" s="13"/>
      <c r="K10" s="14"/>
      <c r="L10" s="14"/>
      <c r="M10" s="14"/>
      <c r="N10" s="14"/>
      <c r="O10" s="14"/>
      <c r="P10" s="15"/>
      <c r="Q10" s="14"/>
      <c r="R10" s="14"/>
      <c r="S10" s="14"/>
      <c r="T10" s="14"/>
      <c r="U10" s="14"/>
      <c r="V10" s="14"/>
      <c r="W10" s="15"/>
      <c r="X10" s="10"/>
      <c r="Y10" s="11"/>
      <c r="Z10" s="16"/>
      <c r="AA10" s="12"/>
      <c r="AB10" s="12"/>
      <c r="AC10" s="12"/>
      <c r="AD10" s="12"/>
      <c r="AE10" s="15"/>
      <c r="AF10" s="14"/>
      <c r="AG10" s="14"/>
      <c r="AH10" s="14"/>
      <c r="AI10" s="14"/>
      <c r="AJ10" s="14"/>
      <c r="AK10" s="15"/>
      <c r="AL10" s="14"/>
      <c r="AM10" s="14"/>
      <c r="AN10" s="14"/>
      <c r="AO10" s="14"/>
      <c r="AP10" s="14"/>
      <c r="AQ10" s="14"/>
      <c r="AR10" s="15"/>
      <c r="AS10" s="15"/>
      <c r="AT10" s="10"/>
      <c r="AU10" s="16"/>
      <c r="AV10" s="14"/>
      <c r="AW10" s="14"/>
      <c r="AX10" s="14"/>
      <c r="AY10" s="14"/>
      <c r="AZ10" s="14"/>
      <c r="BA10" s="14"/>
    </row>
    <row r="11" spans="1:53" s="17" customFormat="1" ht="5.5" customHeight="1" thickTop="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1:53" x14ac:dyDescent="0.25">
      <c r="A12" s="44" t="s">
        <v>14</v>
      </c>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row>
    <row r="13" spans="1:53" ht="13" x14ac:dyDescent="0.3">
      <c r="A13" s="49" t="s">
        <v>15</v>
      </c>
      <c r="B13" s="49"/>
      <c r="C13" s="49"/>
      <c r="D13" s="49"/>
      <c r="E13" s="49"/>
      <c r="F13" s="50"/>
      <c r="G13" s="51" t="s">
        <v>16</v>
      </c>
      <c r="H13" s="49"/>
      <c r="I13" s="49"/>
      <c r="J13" s="49"/>
      <c r="K13" s="49"/>
      <c r="L13" s="49"/>
      <c r="M13" s="49"/>
      <c r="N13" s="49"/>
      <c r="O13" s="50"/>
      <c r="P13" s="51" t="s">
        <v>17</v>
      </c>
      <c r="Q13" s="49"/>
      <c r="R13" s="49"/>
      <c r="S13" s="49"/>
      <c r="T13" s="49"/>
      <c r="U13" s="49"/>
      <c r="V13" s="49"/>
      <c r="W13" s="49"/>
      <c r="X13" s="49"/>
      <c r="Y13" s="49"/>
      <c r="Z13" s="49"/>
      <c r="AA13" s="49"/>
      <c r="AB13" s="49"/>
      <c r="AC13" s="49"/>
      <c r="AD13" s="49"/>
      <c r="AE13" s="49"/>
      <c r="AF13" s="49"/>
      <c r="AG13" s="49"/>
      <c r="AH13" s="49"/>
      <c r="AI13" s="49"/>
      <c r="AJ13" s="49"/>
      <c r="AK13" s="49"/>
      <c r="AL13" s="49"/>
      <c r="AM13" s="50"/>
      <c r="AN13" s="52" t="s">
        <v>18</v>
      </c>
      <c r="AO13" s="53"/>
      <c r="AP13" s="53"/>
      <c r="AQ13" s="53"/>
      <c r="AR13" s="53"/>
      <c r="AS13" s="53"/>
      <c r="AT13" s="54"/>
      <c r="AU13" s="52" t="s">
        <v>19</v>
      </c>
      <c r="AV13" s="53"/>
      <c r="AW13" s="53"/>
      <c r="AX13" s="53"/>
      <c r="AY13" s="53"/>
      <c r="AZ13" s="53"/>
      <c r="BA13" s="53"/>
    </row>
    <row r="14" spans="1:53" ht="13.4" customHeight="1" x14ac:dyDescent="0.3">
      <c r="A14" s="55">
        <v>1</v>
      </c>
      <c r="B14" s="55"/>
      <c r="C14" s="55"/>
      <c r="D14" s="55"/>
      <c r="E14" s="55"/>
      <c r="F14" s="56"/>
      <c r="G14" s="57"/>
      <c r="H14" s="58"/>
      <c r="I14" s="58"/>
      <c r="J14" s="58"/>
      <c r="K14" s="58"/>
      <c r="L14" s="58"/>
      <c r="M14" s="58"/>
      <c r="N14" s="58"/>
      <c r="O14" s="59"/>
      <c r="P14" s="57" t="s">
        <v>20</v>
      </c>
      <c r="Q14" s="58"/>
      <c r="R14" s="58"/>
      <c r="S14" s="58"/>
      <c r="T14" s="58"/>
      <c r="U14" s="58"/>
      <c r="V14" s="58"/>
      <c r="W14" s="58"/>
      <c r="X14" s="58"/>
      <c r="Y14" s="58"/>
      <c r="Z14" s="58"/>
      <c r="AA14" s="58"/>
      <c r="AB14" s="58"/>
      <c r="AC14" s="58"/>
      <c r="AD14" s="58"/>
      <c r="AE14" s="58"/>
      <c r="AF14" s="58"/>
      <c r="AG14" s="58"/>
      <c r="AH14" s="58"/>
      <c r="AI14" s="58"/>
      <c r="AJ14" s="58"/>
      <c r="AK14" s="58"/>
      <c r="AL14" s="58"/>
      <c r="AM14" s="59"/>
      <c r="AN14" s="60">
        <v>1587.56</v>
      </c>
      <c r="AO14" s="61"/>
      <c r="AP14" s="61"/>
      <c r="AQ14" s="61"/>
      <c r="AR14" s="61"/>
      <c r="AS14" s="61"/>
      <c r="AT14" s="61"/>
      <c r="AU14" s="60">
        <f>+A14*AN14</f>
        <v>1587.56</v>
      </c>
      <c r="AV14" s="61"/>
      <c r="AW14" s="61"/>
      <c r="AX14" s="61"/>
      <c r="AY14" s="61"/>
      <c r="AZ14" s="61"/>
      <c r="BA14" s="61"/>
    </row>
    <row r="15" spans="1:53" s="17" customFormat="1" ht="13.15" customHeight="1" x14ac:dyDescent="0.3">
      <c r="A15" s="62"/>
      <c r="B15" s="62"/>
      <c r="C15" s="62"/>
      <c r="D15" s="62"/>
      <c r="E15" s="62"/>
      <c r="F15" s="63"/>
      <c r="G15" s="64"/>
      <c r="H15" s="65"/>
      <c r="I15" s="65"/>
      <c r="J15" s="65"/>
      <c r="K15" s="65"/>
      <c r="L15" s="65"/>
      <c r="M15" s="65"/>
      <c r="N15" s="65"/>
      <c r="O15" s="66"/>
      <c r="P15" s="67"/>
      <c r="Q15" s="68"/>
      <c r="R15" s="68"/>
      <c r="S15" s="68"/>
      <c r="T15" s="68"/>
      <c r="U15" s="68"/>
      <c r="V15" s="68"/>
      <c r="W15" s="68"/>
      <c r="X15" s="68"/>
      <c r="Y15" s="68"/>
      <c r="Z15" s="68"/>
      <c r="AA15" s="68"/>
      <c r="AB15" s="68"/>
      <c r="AC15" s="68"/>
      <c r="AD15" s="68"/>
      <c r="AE15" s="68"/>
      <c r="AF15" s="68"/>
      <c r="AG15" s="68"/>
      <c r="AH15" s="68"/>
      <c r="AI15" s="68"/>
      <c r="AJ15" s="68"/>
      <c r="AK15" s="68"/>
      <c r="AL15" s="68"/>
      <c r="AM15" s="69"/>
      <c r="AN15" s="60"/>
      <c r="AO15" s="61"/>
      <c r="AP15" s="61"/>
      <c r="AQ15" s="61"/>
      <c r="AR15" s="61"/>
      <c r="AS15" s="61"/>
      <c r="AT15" s="61"/>
      <c r="AU15" s="60">
        <f t="shared" ref="AU15:AU29" si="0">+A15*AN15</f>
        <v>0</v>
      </c>
      <c r="AV15" s="61"/>
      <c r="AW15" s="61"/>
      <c r="AX15" s="61"/>
      <c r="AY15" s="61"/>
      <c r="AZ15" s="61"/>
      <c r="BA15" s="61"/>
    </row>
    <row r="16" spans="1:53" ht="13.15" customHeight="1" x14ac:dyDescent="0.3">
      <c r="A16" s="62"/>
      <c r="B16" s="62"/>
      <c r="C16" s="62"/>
      <c r="D16" s="62"/>
      <c r="E16" s="62"/>
      <c r="F16" s="63"/>
      <c r="G16" s="64"/>
      <c r="H16" s="65"/>
      <c r="I16" s="65"/>
      <c r="J16" s="65"/>
      <c r="K16" s="65"/>
      <c r="L16" s="65"/>
      <c r="M16" s="65"/>
      <c r="N16" s="65"/>
      <c r="O16" s="66"/>
      <c r="P16" s="67"/>
      <c r="Q16" s="68"/>
      <c r="R16" s="68"/>
      <c r="S16" s="68"/>
      <c r="T16" s="68"/>
      <c r="U16" s="68"/>
      <c r="V16" s="68"/>
      <c r="W16" s="68"/>
      <c r="X16" s="68"/>
      <c r="Y16" s="68"/>
      <c r="Z16" s="68"/>
      <c r="AA16" s="68"/>
      <c r="AB16" s="68"/>
      <c r="AC16" s="68"/>
      <c r="AD16" s="68"/>
      <c r="AE16" s="68"/>
      <c r="AF16" s="68"/>
      <c r="AG16" s="68"/>
      <c r="AH16" s="68"/>
      <c r="AI16" s="68"/>
      <c r="AJ16" s="68"/>
      <c r="AK16" s="68"/>
      <c r="AL16" s="68"/>
      <c r="AM16" s="69"/>
      <c r="AN16" s="60"/>
      <c r="AO16" s="61"/>
      <c r="AP16" s="61"/>
      <c r="AQ16" s="61"/>
      <c r="AR16" s="61"/>
      <c r="AS16" s="61"/>
      <c r="AT16" s="61"/>
      <c r="AU16" s="60">
        <f t="shared" si="0"/>
        <v>0</v>
      </c>
      <c r="AV16" s="61"/>
      <c r="AW16" s="61"/>
      <c r="AX16" s="61"/>
      <c r="AY16" s="61"/>
      <c r="AZ16" s="61"/>
      <c r="BA16" s="61"/>
    </row>
    <row r="17" spans="1:53" ht="13.15" customHeight="1" x14ac:dyDescent="0.3">
      <c r="A17" s="62"/>
      <c r="B17" s="62"/>
      <c r="C17" s="62"/>
      <c r="D17" s="62"/>
      <c r="E17" s="62"/>
      <c r="F17" s="63"/>
      <c r="G17" s="64"/>
      <c r="H17" s="65"/>
      <c r="I17" s="65"/>
      <c r="J17" s="65"/>
      <c r="K17" s="65"/>
      <c r="L17" s="65"/>
      <c r="M17" s="65"/>
      <c r="N17" s="65"/>
      <c r="O17" s="66"/>
      <c r="P17" s="67"/>
      <c r="Q17" s="68"/>
      <c r="R17" s="68"/>
      <c r="S17" s="68"/>
      <c r="T17" s="68"/>
      <c r="U17" s="68"/>
      <c r="V17" s="68"/>
      <c r="W17" s="68"/>
      <c r="X17" s="68"/>
      <c r="Y17" s="68"/>
      <c r="Z17" s="68"/>
      <c r="AA17" s="68"/>
      <c r="AB17" s="68"/>
      <c r="AC17" s="68"/>
      <c r="AD17" s="68"/>
      <c r="AE17" s="68"/>
      <c r="AF17" s="68"/>
      <c r="AG17" s="68"/>
      <c r="AH17" s="68"/>
      <c r="AI17" s="68"/>
      <c r="AJ17" s="68"/>
      <c r="AK17" s="68"/>
      <c r="AL17" s="68"/>
      <c r="AM17" s="69"/>
      <c r="AN17" s="60"/>
      <c r="AO17" s="61"/>
      <c r="AP17" s="61"/>
      <c r="AQ17" s="61"/>
      <c r="AR17" s="61"/>
      <c r="AS17" s="61"/>
      <c r="AT17" s="61"/>
      <c r="AU17" s="60">
        <f t="shared" si="0"/>
        <v>0</v>
      </c>
      <c r="AV17" s="61"/>
      <c r="AW17" s="61"/>
      <c r="AX17" s="61"/>
      <c r="AY17" s="61"/>
      <c r="AZ17" s="61"/>
      <c r="BA17" s="61"/>
    </row>
    <row r="18" spans="1:53" ht="13.15" customHeight="1" x14ac:dyDescent="0.3">
      <c r="A18" s="62"/>
      <c r="B18" s="62"/>
      <c r="C18" s="62"/>
      <c r="D18" s="62"/>
      <c r="E18" s="62"/>
      <c r="F18" s="63"/>
      <c r="G18" s="64"/>
      <c r="H18" s="65"/>
      <c r="I18" s="65"/>
      <c r="J18" s="65"/>
      <c r="K18" s="65"/>
      <c r="L18" s="65"/>
      <c r="M18" s="65"/>
      <c r="N18" s="65"/>
      <c r="O18" s="66"/>
      <c r="P18" s="67"/>
      <c r="Q18" s="68"/>
      <c r="R18" s="68"/>
      <c r="S18" s="68"/>
      <c r="T18" s="68"/>
      <c r="U18" s="68"/>
      <c r="V18" s="68"/>
      <c r="W18" s="68"/>
      <c r="X18" s="68"/>
      <c r="Y18" s="68"/>
      <c r="Z18" s="68"/>
      <c r="AA18" s="68"/>
      <c r="AB18" s="68"/>
      <c r="AC18" s="68"/>
      <c r="AD18" s="68"/>
      <c r="AE18" s="68"/>
      <c r="AF18" s="68"/>
      <c r="AG18" s="68"/>
      <c r="AH18" s="68"/>
      <c r="AI18" s="68"/>
      <c r="AJ18" s="68"/>
      <c r="AK18" s="68"/>
      <c r="AL18" s="68"/>
      <c r="AM18" s="69"/>
      <c r="AN18" s="60"/>
      <c r="AO18" s="61"/>
      <c r="AP18" s="61"/>
      <c r="AQ18" s="61"/>
      <c r="AR18" s="61"/>
      <c r="AS18" s="61"/>
      <c r="AT18" s="61"/>
      <c r="AU18" s="60">
        <f t="shared" si="0"/>
        <v>0</v>
      </c>
      <c r="AV18" s="61"/>
      <c r="AW18" s="61"/>
      <c r="AX18" s="61"/>
      <c r="AY18" s="61"/>
      <c r="AZ18" s="61"/>
      <c r="BA18" s="61"/>
    </row>
    <row r="19" spans="1:53" ht="13.15" customHeight="1" x14ac:dyDescent="0.3">
      <c r="A19" s="62"/>
      <c r="B19" s="62"/>
      <c r="C19" s="62"/>
      <c r="D19" s="62"/>
      <c r="E19" s="62"/>
      <c r="F19" s="63"/>
      <c r="G19" s="64"/>
      <c r="H19" s="65"/>
      <c r="I19" s="65"/>
      <c r="J19" s="65"/>
      <c r="K19" s="65"/>
      <c r="L19" s="65"/>
      <c r="M19" s="65"/>
      <c r="N19" s="65"/>
      <c r="O19" s="66"/>
      <c r="P19" s="67"/>
      <c r="Q19" s="68"/>
      <c r="R19" s="68"/>
      <c r="S19" s="68"/>
      <c r="T19" s="68"/>
      <c r="U19" s="68"/>
      <c r="V19" s="68"/>
      <c r="W19" s="68"/>
      <c r="X19" s="68"/>
      <c r="Y19" s="68"/>
      <c r="Z19" s="68"/>
      <c r="AA19" s="68"/>
      <c r="AB19" s="68"/>
      <c r="AC19" s="68"/>
      <c r="AD19" s="68"/>
      <c r="AE19" s="68"/>
      <c r="AF19" s="68"/>
      <c r="AG19" s="68"/>
      <c r="AH19" s="68"/>
      <c r="AI19" s="68"/>
      <c r="AJ19" s="68"/>
      <c r="AK19" s="68"/>
      <c r="AL19" s="68"/>
      <c r="AM19" s="69"/>
      <c r="AN19" s="60"/>
      <c r="AO19" s="61"/>
      <c r="AP19" s="61"/>
      <c r="AQ19" s="61"/>
      <c r="AR19" s="61"/>
      <c r="AS19" s="61"/>
      <c r="AT19" s="61"/>
      <c r="AU19" s="60">
        <f t="shared" si="0"/>
        <v>0</v>
      </c>
      <c r="AV19" s="61"/>
      <c r="AW19" s="61"/>
      <c r="AX19" s="61"/>
      <c r="AY19" s="61"/>
      <c r="AZ19" s="61"/>
      <c r="BA19" s="61"/>
    </row>
    <row r="20" spans="1:53" ht="13.15" customHeight="1" x14ac:dyDescent="0.3">
      <c r="A20" s="62"/>
      <c r="B20" s="62"/>
      <c r="C20" s="62"/>
      <c r="D20" s="62"/>
      <c r="E20" s="62"/>
      <c r="F20" s="63"/>
      <c r="G20" s="64"/>
      <c r="H20" s="65"/>
      <c r="I20" s="65"/>
      <c r="J20" s="65"/>
      <c r="K20" s="65"/>
      <c r="L20" s="65"/>
      <c r="M20" s="65"/>
      <c r="N20" s="65"/>
      <c r="O20" s="66"/>
      <c r="P20" s="67"/>
      <c r="Q20" s="68"/>
      <c r="R20" s="68"/>
      <c r="S20" s="68"/>
      <c r="T20" s="68"/>
      <c r="U20" s="68"/>
      <c r="V20" s="68"/>
      <c r="W20" s="68"/>
      <c r="X20" s="68"/>
      <c r="Y20" s="68"/>
      <c r="Z20" s="68"/>
      <c r="AA20" s="68"/>
      <c r="AB20" s="68"/>
      <c r="AC20" s="68"/>
      <c r="AD20" s="68"/>
      <c r="AE20" s="68"/>
      <c r="AF20" s="68"/>
      <c r="AG20" s="68"/>
      <c r="AH20" s="68"/>
      <c r="AI20" s="68"/>
      <c r="AJ20" s="68"/>
      <c r="AK20" s="68"/>
      <c r="AL20" s="68"/>
      <c r="AM20" s="69"/>
      <c r="AN20" s="60"/>
      <c r="AO20" s="61"/>
      <c r="AP20" s="61"/>
      <c r="AQ20" s="61"/>
      <c r="AR20" s="61"/>
      <c r="AS20" s="61"/>
      <c r="AT20" s="61"/>
      <c r="AU20" s="60">
        <f t="shared" si="0"/>
        <v>0</v>
      </c>
      <c r="AV20" s="61"/>
      <c r="AW20" s="61"/>
      <c r="AX20" s="61"/>
      <c r="AY20" s="61"/>
      <c r="AZ20" s="61"/>
      <c r="BA20" s="61"/>
    </row>
    <row r="21" spans="1:53" ht="13.15" customHeight="1" x14ac:dyDescent="0.3">
      <c r="A21" s="62"/>
      <c r="B21" s="62"/>
      <c r="C21" s="62"/>
      <c r="D21" s="62"/>
      <c r="E21" s="62"/>
      <c r="F21" s="63"/>
      <c r="G21" s="64"/>
      <c r="H21" s="65"/>
      <c r="I21" s="65"/>
      <c r="J21" s="65"/>
      <c r="K21" s="65"/>
      <c r="L21" s="65"/>
      <c r="M21" s="65"/>
      <c r="N21" s="65"/>
      <c r="O21" s="66"/>
      <c r="P21" s="67"/>
      <c r="Q21" s="68"/>
      <c r="R21" s="68"/>
      <c r="S21" s="68"/>
      <c r="T21" s="68"/>
      <c r="U21" s="68"/>
      <c r="V21" s="68"/>
      <c r="W21" s="68"/>
      <c r="X21" s="68"/>
      <c r="Y21" s="68"/>
      <c r="Z21" s="68"/>
      <c r="AA21" s="68"/>
      <c r="AB21" s="68"/>
      <c r="AC21" s="68"/>
      <c r="AD21" s="68"/>
      <c r="AE21" s="68"/>
      <c r="AF21" s="68"/>
      <c r="AG21" s="68"/>
      <c r="AH21" s="68"/>
      <c r="AI21" s="68"/>
      <c r="AJ21" s="68"/>
      <c r="AK21" s="68"/>
      <c r="AL21" s="68"/>
      <c r="AM21" s="69"/>
      <c r="AN21" s="60"/>
      <c r="AO21" s="61"/>
      <c r="AP21" s="61"/>
      <c r="AQ21" s="61"/>
      <c r="AR21" s="61"/>
      <c r="AS21" s="61"/>
      <c r="AT21" s="61"/>
      <c r="AU21" s="60">
        <f t="shared" si="0"/>
        <v>0</v>
      </c>
      <c r="AV21" s="61"/>
      <c r="AW21" s="61"/>
      <c r="AX21" s="61"/>
      <c r="AY21" s="61"/>
      <c r="AZ21" s="61"/>
      <c r="BA21" s="61"/>
    </row>
    <row r="22" spans="1:53" ht="13.15" customHeight="1" x14ac:dyDescent="0.3">
      <c r="A22" s="62"/>
      <c r="B22" s="62"/>
      <c r="C22" s="62"/>
      <c r="D22" s="62"/>
      <c r="E22" s="62"/>
      <c r="F22" s="63"/>
      <c r="G22" s="64"/>
      <c r="H22" s="65"/>
      <c r="I22" s="65"/>
      <c r="J22" s="65"/>
      <c r="K22" s="65"/>
      <c r="L22" s="65"/>
      <c r="M22" s="65"/>
      <c r="N22" s="65"/>
      <c r="O22" s="66"/>
      <c r="P22" s="67"/>
      <c r="Q22" s="68"/>
      <c r="R22" s="68"/>
      <c r="S22" s="68"/>
      <c r="T22" s="68"/>
      <c r="U22" s="68"/>
      <c r="V22" s="68"/>
      <c r="W22" s="68"/>
      <c r="X22" s="68"/>
      <c r="Y22" s="68"/>
      <c r="Z22" s="68"/>
      <c r="AA22" s="68"/>
      <c r="AB22" s="68"/>
      <c r="AC22" s="68"/>
      <c r="AD22" s="68"/>
      <c r="AE22" s="68"/>
      <c r="AF22" s="68"/>
      <c r="AG22" s="68"/>
      <c r="AH22" s="68"/>
      <c r="AI22" s="68"/>
      <c r="AJ22" s="68"/>
      <c r="AK22" s="68"/>
      <c r="AL22" s="68"/>
      <c r="AM22" s="69"/>
      <c r="AN22" s="60"/>
      <c r="AO22" s="61"/>
      <c r="AP22" s="61"/>
      <c r="AQ22" s="61"/>
      <c r="AR22" s="61"/>
      <c r="AS22" s="61"/>
      <c r="AT22" s="61"/>
      <c r="AU22" s="60">
        <f t="shared" si="0"/>
        <v>0</v>
      </c>
      <c r="AV22" s="61"/>
      <c r="AW22" s="61"/>
      <c r="AX22" s="61"/>
      <c r="AY22" s="61"/>
      <c r="AZ22" s="61"/>
      <c r="BA22" s="61"/>
    </row>
    <row r="23" spans="1:53" ht="13.15" customHeight="1" x14ac:dyDescent="0.3">
      <c r="A23" s="62"/>
      <c r="B23" s="62"/>
      <c r="C23" s="62"/>
      <c r="D23" s="62"/>
      <c r="E23" s="62"/>
      <c r="F23" s="63"/>
      <c r="G23" s="64"/>
      <c r="H23" s="65"/>
      <c r="I23" s="65"/>
      <c r="J23" s="65"/>
      <c r="K23" s="65"/>
      <c r="L23" s="65"/>
      <c r="M23" s="65"/>
      <c r="N23" s="65"/>
      <c r="O23" s="66"/>
      <c r="P23" s="67"/>
      <c r="Q23" s="68"/>
      <c r="R23" s="68"/>
      <c r="S23" s="68"/>
      <c r="T23" s="68"/>
      <c r="U23" s="68"/>
      <c r="V23" s="68"/>
      <c r="W23" s="68"/>
      <c r="X23" s="68"/>
      <c r="Y23" s="68"/>
      <c r="Z23" s="68"/>
      <c r="AA23" s="68"/>
      <c r="AB23" s="68"/>
      <c r="AC23" s="68"/>
      <c r="AD23" s="68"/>
      <c r="AE23" s="68"/>
      <c r="AF23" s="68"/>
      <c r="AG23" s="68"/>
      <c r="AH23" s="68"/>
      <c r="AI23" s="68"/>
      <c r="AJ23" s="68"/>
      <c r="AK23" s="68"/>
      <c r="AL23" s="68"/>
      <c r="AM23" s="69"/>
      <c r="AN23" s="60"/>
      <c r="AO23" s="61"/>
      <c r="AP23" s="61"/>
      <c r="AQ23" s="61"/>
      <c r="AR23" s="61"/>
      <c r="AS23" s="61"/>
      <c r="AT23" s="70"/>
      <c r="AU23" s="60">
        <f t="shared" si="0"/>
        <v>0</v>
      </c>
      <c r="AV23" s="61"/>
      <c r="AW23" s="61"/>
      <c r="AX23" s="61"/>
      <c r="AY23" s="61"/>
      <c r="AZ23" s="61"/>
      <c r="BA23" s="61"/>
    </row>
    <row r="24" spans="1:53" ht="13.15" customHeight="1" x14ac:dyDescent="0.3">
      <c r="A24" s="62"/>
      <c r="B24" s="62"/>
      <c r="C24" s="62"/>
      <c r="D24" s="62"/>
      <c r="E24" s="62"/>
      <c r="F24" s="63"/>
      <c r="G24" s="64"/>
      <c r="H24" s="65"/>
      <c r="I24" s="65"/>
      <c r="J24" s="65"/>
      <c r="K24" s="65"/>
      <c r="L24" s="65"/>
      <c r="M24" s="65"/>
      <c r="N24" s="65"/>
      <c r="O24" s="66"/>
      <c r="P24" s="67"/>
      <c r="Q24" s="68"/>
      <c r="R24" s="68"/>
      <c r="S24" s="68"/>
      <c r="T24" s="68"/>
      <c r="U24" s="68"/>
      <c r="V24" s="68"/>
      <c r="W24" s="68"/>
      <c r="X24" s="68"/>
      <c r="Y24" s="68"/>
      <c r="Z24" s="68"/>
      <c r="AA24" s="68"/>
      <c r="AB24" s="68"/>
      <c r="AC24" s="68"/>
      <c r="AD24" s="68"/>
      <c r="AE24" s="68"/>
      <c r="AF24" s="68"/>
      <c r="AG24" s="68"/>
      <c r="AH24" s="68"/>
      <c r="AI24" s="68"/>
      <c r="AJ24" s="68"/>
      <c r="AK24" s="68"/>
      <c r="AL24" s="68"/>
      <c r="AM24" s="69"/>
      <c r="AN24" s="60"/>
      <c r="AO24" s="61"/>
      <c r="AP24" s="61"/>
      <c r="AQ24" s="61"/>
      <c r="AR24" s="61"/>
      <c r="AS24" s="61"/>
      <c r="AT24" s="70"/>
      <c r="AU24" s="60">
        <f t="shared" si="0"/>
        <v>0</v>
      </c>
      <c r="AV24" s="61"/>
      <c r="AW24" s="61"/>
      <c r="AX24" s="61"/>
      <c r="AY24" s="61"/>
      <c r="AZ24" s="61"/>
      <c r="BA24" s="61"/>
    </row>
    <row r="25" spans="1:53" ht="13.15" customHeight="1" x14ac:dyDescent="0.3">
      <c r="A25" s="62"/>
      <c r="B25" s="62"/>
      <c r="C25" s="62"/>
      <c r="D25" s="62"/>
      <c r="E25" s="62"/>
      <c r="F25" s="63"/>
      <c r="G25" s="64"/>
      <c r="H25" s="65"/>
      <c r="I25" s="65"/>
      <c r="J25" s="65"/>
      <c r="K25" s="65"/>
      <c r="L25" s="65"/>
      <c r="M25" s="65"/>
      <c r="N25" s="65"/>
      <c r="O25" s="66"/>
      <c r="P25" s="67"/>
      <c r="Q25" s="68"/>
      <c r="R25" s="68"/>
      <c r="S25" s="68"/>
      <c r="T25" s="68"/>
      <c r="U25" s="68"/>
      <c r="V25" s="68"/>
      <c r="W25" s="68"/>
      <c r="X25" s="68"/>
      <c r="Y25" s="68"/>
      <c r="Z25" s="68"/>
      <c r="AA25" s="68"/>
      <c r="AB25" s="68"/>
      <c r="AC25" s="68"/>
      <c r="AD25" s="68"/>
      <c r="AE25" s="68"/>
      <c r="AF25" s="68"/>
      <c r="AG25" s="68"/>
      <c r="AH25" s="68"/>
      <c r="AI25" s="68"/>
      <c r="AJ25" s="68"/>
      <c r="AK25" s="68"/>
      <c r="AL25" s="68"/>
      <c r="AM25" s="69"/>
      <c r="AN25" s="60"/>
      <c r="AO25" s="61"/>
      <c r="AP25" s="61"/>
      <c r="AQ25" s="61"/>
      <c r="AR25" s="61"/>
      <c r="AS25" s="61"/>
      <c r="AT25" s="70"/>
      <c r="AU25" s="60">
        <f t="shared" si="0"/>
        <v>0</v>
      </c>
      <c r="AV25" s="61"/>
      <c r="AW25" s="61"/>
      <c r="AX25" s="61"/>
      <c r="AY25" s="61"/>
      <c r="AZ25" s="61"/>
      <c r="BA25" s="61"/>
    </row>
    <row r="26" spans="1:53" ht="13.15" customHeight="1" x14ac:dyDescent="0.3">
      <c r="A26" s="62"/>
      <c r="B26" s="62"/>
      <c r="C26" s="62"/>
      <c r="D26" s="62"/>
      <c r="E26" s="62"/>
      <c r="F26" s="63"/>
      <c r="G26" s="64"/>
      <c r="H26" s="65"/>
      <c r="I26" s="65"/>
      <c r="J26" s="65"/>
      <c r="K26" s="65"/>
      <c r="L26" s="65"/>
      <c r="M26" s="65"/>
      <c r="N26" s="65"/>
      <c r="O26" s="66"/>
      <c r="P26" s="67"/>
      <c r="Q26" s="68"/>
      <c r="R26" s="68"/>
      <c r="S26" s="68"/>
      <c r="T26" s="68"/>
      <c r="U26" s="68"/>
      <c r="V26" s="68"/>
      <c r="W26" s="68"/>
      <c r="X26" s="68"/>
      <c r="Y26" s="68"/>
      <c r="Z26" s="68"/>
      <c r="AA26" s="68"/>
      <c r="AB26" s="68"/>
      <c r="AC26" s="68"/>
      <c r="AD26" s="68"/>
      <c r="AE26" s="68"/>
      <c r="AF26" s="68"/>
      <c r="AG26" s="68"/>
      <c r="AH26" s="68"/>
      <c r="AI26" s="68"/>
      <c r="AJ26" s="68"/>
      <c r="AK26" s="68"/>
      <c r="AL26" s="68"/>
      <c r="AM26" s="69"/>
      <c r="AN26" s="60"/>
      <c r="AO26" s="61"/>
      <c r="AP26" s="61"/>
      <c r="AQ26" s="61"/>
      <c r="AR26" s="61"/>
      <c r="AS26" s="61"/>
      <c r="AT26" s="70"/>
      <c r="AU26" s="60">
        <f t="shared" si="0"/>
        <v>0</v>
      </c>
      <c r="AV26" s="61"/>
      <c r="AW26" s="61"/>
      <c r="AX26" s="61"/>
      <c r="AY26" s="61"/>
      <c r="AZ26" s="61"/>
      <c r="BA26" s="61"/>
    </row>
    <row r="27" spans="1:53" ht="13.15" customHeight="1" x14ac:dyDescent="0.3">
      <c r="A27" s="62"/>
      <c r="B27" s="62"/>
      <c r="C27" s="62"/>
      <c r="D27" s="62"/>
      <c r="E27" s="62"/>
      <c r="F27" s="63"/>
      <c r="G27" s="64"/>
      <c r="H27" s="65"/>
      <c r="I27" s="65"/>
      <c r="J27" s="65"/>
      <c r="K27" s="65"/>
      <c r="L27" s="65"/>
      <c r="M27" s="65"/>
      <c r="N27" s="65"/>
      <c r="O27" s="66"/>
      <c r="P27" s="67"/>
      <c r="Q27" s="68"/>
      <c r="R27" s="68"/>
      <c r="S27" s="68"/>
      <c r="T27" s="68"/>
      <c r="U27" s="68"/>
      <c r="V27" s="68"/>
      <c r="W27" s="68"/>
      <c r="X27" s="68"/>
      <c r="Y27" s="68"/>
      <c r="Z27" s="68"/>
      <c r="AA27" s="68"/>
      <c r="AB27" s="68"/>
      <c r="AC27" s="68"/>
      <c r="AD27" s="68"/>
      <c r="AE27" s="68"/>
      <c r="AF27" s="68"/>
      <c r="AG27" s="68"/>
      <c r="AH27" s="68"/>
      <c r="AI27" s="68"/>
      <c r="AJ27" s="68"/>
      <c r="AK27" s="68"/>
      <c r="AL27" s="68"/>
      <c r="AM27" s="69"/>
      <c r="AN27" s="60"/>
      <c r="AO27" s="61"/>
      <c r="AP27" s="61"/>
      <c r="AQ27" s="61"/>
      <c r="AR27" s="61"/>
      <c r="AS27" s="61"/>
      <c r="AT27" s="70"/>
      <c r="AU27" s="60">
        <f t="shared" si="0"/>
        <v>0</v>
      </c>
      <c r="AV27" s="61"/>
      <c r="AW27" s="61"/>
      <c r="AX27" s="61"/>
      <c r="AY27" s="61"/>
      <c r="AZ27" s="61"/>
      <c r="BA27" s="61"/>
    </row>
    <row r="28" spans="1:53" ht="13.15" customHeight="1" x14ac:dyDescent="0.3">
      <c r="A28" s="62"/>
      <c r="B28" s="62"/>
      <c r="C28" s="62"/>
      <c r="D28" s="62"/>
      <c r="E28" s="62"/>
      <c r="F28" s="63"/>
      <c r="G28" s="64"/>
      <c r="H28" s="65"/>
      <c r="I28" s="65"/>
      <c r="J28" s="65"/>
      <c r="K28" s="65"/>
      <c r="L28" s="65"/>
      <c r="M28" s="65"/>
      <c r="N28" s="65"/>
      <c r="O28" s="66"/>
      <c r="P28" s="67"/>
      <c r="Q28" s="68"/>
      <c r="R28" s="68"/>
      <c r="S28" s="68"/>
      <c r="T28" s="68"/>
      <c r="U28" s="68"/>
      <c r="V28" s="68"/>
      <c r="W28" s="68"/>
      <c r="X28" s="68"/>
      <c r="Y28" s="68"/>
      <c r="Z28" s="68"/>
      <c r="AA28" s="68"/>
      <c r="AB28" s="68"/>
      <c r="AC28" s="68"/>
      <c r="AD28" s="68"/>
      <c r="AE28" s="68"/>
      <c r="AF28" s="68"/>
      <c r="AG28" s="68"/>
      <c r="AH28" s="68"/>
      <c r="AI28" s="68"/>
      <c r="AJ28" s="68"/>
      <c r="AK28" s="68"/>
      <c r="AL28" s="68"/>
      <c r="AM28" s="69"/>
      <c r="AN28" s="60"/>
      <c r="AO28" s="61"/>
      <c r="AP28" s="61"/>
      <c r="AQ28" s="61"/>
      <c r="AR28" s="61"/>
      <c r="AS28" s="61"/>
      <c r="AT28" s="70"/>
      <c r="AU28" s="60">
        <f t="shared" si="0"/>
        <v>0</v>
      </c>
      <c r="AV28" s="61"/>
      <c r="AW28" s="61"/>
      <c r="AX28" s="61"/>
      <c r="AY28" s="61"/>
      <c r="AZ28" s="61"/>
      <c r="BA28" s="61"/>
    </row>
    <row r="29" spans="1:53" ht="13.15" customHeight="1" x14ac:dyDescent="0.3">
      <c r="A29" s="62"/>
      <c r="B29" s="62"/>
      <c r="C29" s="62"/>
      <c r="D29" s="62"/>
      <c r="E29" s="62"/>
      <c r="F29" s="63"/>
      <c r="G29" s="64"/>
      <c r="H29" s="65"/>
      <c r="I29" s="65"/>
      <c r="J29" s="65"/>
      <c r="K29" s="65"/>
      <c r="L29" s="65"/>
      <c r="M29" s="65"/>
      <c r="N29" s="65"/>
      <c r="O29" s="66"/>
      <c r="P29" s="67"/>
      <c r="Q29" s="68"/>
      <c r="R29" s="68"/>
      <c r="S29" s="68"/>
      <c r="T29" s="68"/>
      <c r="U29" s="68"/>
      <c r="V29" s="68"/>
      <c r="W29" s="68"/>
      <c r="X29" s="68"/>
      <c r="Y29" s="68"/>
      <c r="Z29" s="68"/>
      <c r="AA29" s="68"/>
      <c r="AB29" s="68"/>
      <c r="AC29" s="68"/>
      <c r="AD29" s="68"/>
      <c r="AE29" s="68"/>
      <c r="AF29" s="68"/>
      <c r="AG29" s="68"/>
      <c r="AH29" s="68"/>
      <c r="AI29" s="68"/>
      <c r="AJ29" s="68"/>
      <c r="AK29" s="68"/>
      <c r="AL29" s="68"/>
      <c r="AM29" s="69"/>
      <c r="AN29" s="60"/>
      <c r="AO29" s="61"/>
      <c r="AP29" s="61"/>
      <c r="AQ29" s="61"/>
      <c r="AR29" s="61"/>
      <c r="AS29" s="61"/>
      <c r="AT29" s="70"/>
      <c r="AU29" s="60">
        <f t="shared" si="0"/>
        <v>0</v>
      </c>
      <c r="AV29" s="61"/>
      <c r="AW29" s="61"/>
      <c r="AX29" s="61"/>
      <c r="AY29" s="61"/>
      <c r="AZ29" s="61"/>
      <c r="BA29" s="61"/>
    </row>
    <row r="30" spans="1:53" ht="13" x14ac:dyDescent="0.3">
      <c r="A30" s="18"/>
      <c r="B30" s="18"/>
      <c r="C30" s="18"/>
      <c r="D30" s="18"/>
      <c r="E30" s="18"/>
      <c r="F30" s="19"/>
      <c r="G30" s="19"/>
      <c r="H30" s="19"/>
      <c r="I30" s="19"/>
      <c r="J30" s="19"/>
      <c r="K30" s="19"/>
      <c r="L30" s="19"/>
      <c r="M30" s="19"/>
      <c r="N30" s="19"/>
      <c r="O30" s="19"/>
      <c r="P30" s="71"/>
      <c r="Q30" s="72"/>
      <c r="R30" s="72"/>
      <c r="S30" s="72"/>
      <c r="T30" s="72"/>
      <c r="U30" s="72"/>
      <c r="V30" s="72"/>
      <c r="W30" s="72"/>
      <c r="X30" s="72"/>
      <c r="Y30" s="72"/>
      <c r="Z30" s="72"/>
      <c r="AA30" s="72"/>
      <c r="AB30" s="72"/>
      <c r="AC30" s="72"/>
      <c r="AD30" s="72"/>
      <c r="AE30" s="72"/>
      <c r="AF30" s="72"/>
      <c r="AG30" s="72"/>
      <c r="AH30" s="72"/>
      <c r="AI30" s="72"/>
      <c r="AJ30" s="72"/>
      <c r="AK30" s="72"/>
      <c r="AL30" s="72"/>
      <c r="AM30" s="73"/>
      <c r="AN30" s="20"/>
      <c r="AO30" s="21"/>
      <c r="AP30" s="21"/>
      <c r="AQ30" s="22"/>
      <c r="AR30" s="22"/>
      <c r="AS30" s="22"/>
      <c r="AT30" s="22"/>
      <c r="AU30" s="61">
        <f>SUM(AU14:BA29)</f>
        <v>1587.56</v>
      </c>
      <c r="AV30" s="61"/>
      <c r="AW30" s="61"/>
      <c r="AX30" s="61"/>
      <c r="AY30" s="61"/>
      <c r="AZ30" s="61"/>
      <c r="BA30" s="61"/>
    </row>
    <row r="31" spans="1:53" s="17" customFormat="1" ht="5.5" customHeight="1" thickBot="1" x14ac:dyDescent="0.35">
      <c r="A31" s="10"/>
      <c r="B31" s="11"/>
      <c r="C31" s="11"/>
      <c r="D31" s="11"/>
      <c r="E31" s="11"/>
      <c r="F31" s="12"/>
      <c r="G31" s="12"/>
      <c r="H31" s="12"/>
      <c r="I31" s="12"/>
      <c r="J31" s="13"/>
      <c r="K31" s="14"/>
      <c r="L31" s="14"/>
      <c r="M31" s="14"/>
      <c r="N31" s="14"/>
      <c r="O31" s="14"/>
      <c r="P31" s="15"/>
      <c r="Q31" s="14"/>
      <c r="R31" s="14"/>
      <c r="S31" s="14"/>
      <c r="T31" s="14"/>
      <c r="U31" s="14"/>
      <c r="V31" s="14"/>
      <c r="W31" s="15"/>
      <c r="X31" s="10"/>
      <c r="Y31" s="11"/>
      <c r="Z31" s="16"/>
      <c r="AA31" s="12"/>
      <c r="AB31" s="12"/>
      <c r="AC31" s="12"/>
      <c r="AD31" s="12"/>
      <c r="AE31" s="15"/>
      <c r="AF31" s="14"/>
      <c r="AG31" s="14"/>
      <c r="AH31" s="14"/>
      <c r="AI31" s="14"/>
      <c r="AJ31" s="14"/>
      <c r="AK31" s="15"/>
      <c r="AL31" s="14"/>
      <c r="AM31" s="14"/>
      <c r="AN31" s="14"/>
      <c r="AO31" s="14"/>
      <c r="AP31" s="14"/>
      <c r="AQ31" s="14"/>
      <c r="AR31" s="15"/>
      <c r="AS31" s="15"/>
      <c r="AT31" s="10"/>
      <c r="AU31" s="16"/>
      <c r="AV31" s="14"/>
      <c r="AW31" s="14"/>
      <c r="AX31" s="14"/>
      <c r="AY31" s="14"/>
      <c r="AZ31" s="14"/>
      <c r="BA31" s="14"/>
    </row>
    <row r="32" spans="1:53" s="17" customFormat="1" ht="5.5" customHeight="1" thickTop="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row>
    <row r="33" spans="1:53" x14ac:dyDescent="0.25">
      <c r="A33" s="44" t="s">
        <v>21</v>
      </c>
      <c r="B33" s="44"/>
      <c r="C33" s="44"/>
      <c r="D33" s="44"/>
      <c r="E33" s="44"/>
      <c r="F33" s="44"/>
      <c r="G33" s="44"/>
      <c r="H33" s="44"/>
      <c r="I33" s="44"/>
      <c r="J33" s="44"/>
      <c r="K33" s="1"/>
      <c r="L33" s="44" t="s">
        <v>22</v>
      </c>
      <c r="M33" s="44"/>
      <c r="N33" s="44"/>
      <c r="O33" s="44"/>
      <c r="P33" s="44"/>
      <c r="Q33" s="44"/>
      <c r="R33" s="44"/>
      <c r="S33" s="44"/>
      <c r="T33" s="44"/>
      <c r="U33" s="44"/>
      <c r="V33" s="1"/>
      <c r="W33" s="44" t="s">
        <v>23</v>
      </c>
      <c r="X33" s="44"/>
      <c r="Y33" s="44"/>
      <c r="Z33" s="44"/>
      <c r="AA33" s="44"/>
      <c r="AB33" s="44"/>
      <c r="AC33" s="44"/>
      <c r="AD33" s="1"/>
      <c r="AE33" s="44" t="s">
        <v>24</v>
      </c>
      <c r="AF33" s="44"/>
      <c r="AG33" s="44"/>
      <c r="AH33" s="44"/>
      <c r="AI33" s="44"/>
      <c r="AJ33" s="44"/>
      <c r="AK33" s="44"/>
      <c r="AL33" s="44"/>
      <c r="AM33" s="44"/>
      <c r="AN33" s="44"/>
      <c r="AO33" s="44"/>
      <c r="AP33" s="1"/>
      <c r="AQ33" s="44" t="s">
        <v>25</v>
      </c>
      <c r="AR33" s="44"/>
      <c r="AS33" s="44"/>
      <c r="AT33" s="44"/>
      <c r="AU33" s="44"/>
      <c r="AV33" s="44"/>
      <c r="AW33" s="44"/>
      <c r="AX33" s="44"/>
      <c r="AY33" s="44"/>
      <c r="AZ33" s="44"/>
      <c r="BA33" s="44"/>
    </row>
    <row r="34" spans="1:53" s="1" customFormat="1" ht="15" customHeight="1" x14ac:dyDescent="0.25">
      <c r="A34" s="74" t="s">
        <v>26</v>
      </c>
      <c r="B34" s="74"/>
      <c r="C34" s="74"/>
      <c r="D34" s="74"/>
      <c r="E34" s="74"/>
      <c r="F34" s="74"/>
      <c r="G34" s="74"/>
      <c r="H34" s="74"/>
      <c r="I34" s="74"/>
      <c r="J34" s="74"/>
      <c r="K34" s="4"/>
      <c r="L34" s="75" t="s">
        <v>27</v>
      </c>
      <c r="M34" s="75"/>
      <c r="N34" s="75"/>
      <c r="O34" s="75"/>
      <c r="P34" s="75"/>
      <c r="Q34" s="75"/>
      <c r="R34" s="75"/>
      <c r="S34" s="75"/>
      <c r="T34" s="75"/>
      <c r="U34" s="75"/>
      <c r="V34" s="4"/>
      <c r="W34" s="62" t="s">
        <v>28</v>
      </c>
      <c r="X34" s="62"/>
      <c r="Y34" s="62"/>
      <c r="Z34" s="62"/>
      <c r="AA34" s="62"/>
      <c r="AB34" s="62"/>
      <c r="AC34" s="62"/>
      <c r="AD34" s="23"/>
      <c r="AE34" s="76">
        <v>0.375</v>
      </c>
      <c r="AF34" s="76"/>
      <c r="AG34" s="76"/>
      <c r="AH34" s="76"/>
      <c r="AI34" s="24"/>
      <c r="AJ34" s="25" t="s">
        <v>29</v>
      </c>
      <c r="AK34" s="26" t="s">
        <v>30</v>
      </c>
      <c r="AL34" s="26"/>
      <c r="AM34" s="27"/>
      <c r="AN34" s="26" t="s">
        <v>31</v>
      </c>
      <c r="AO34" s="26"/>
      <c r="AP34" s="4"/>
      <c r="AQ34" s="76">
        <v>0.47916666666666669</v>
      </c>
      <c r="AR34" s="76"/>
      <c r="AS34" s="76"/>
      <c r="AT34" s="76"/>
      <c r="AU34" s="24"/>
      <c r="AV34" s="25" t="s">
        <v>29</v>
      </c>
      <c r="AW34" s="26" t="s">
        <v>30</v>
      </c>
      <c r="AX34" s="26"/>
      <c r="AY34" s="27"/>
      <c r="AZ34" s="26" t="s">
        <v>31</v>
      </c>
      <c r="BA34" s="26"/>
    </row>
    <row r="35" spans="1:53" s="17" customFormat="1" ht="13" x14ac:dyDescent="0.3">
      <c r="A35" s="80" t="s">
        <v>32</v>
      </c>
      <c r="B35" s="80"/>
      <c r="C35" s="80"/>
      <c r="D35" s="80"/>
      <c r="E35" s="80"/>
      <c r="F35" s="61">
        <v>2.5</v>
      </c>
      <c r="G35" s="61"/>
      <c r="H35" s="61"/>
      <c r="I35" s="61"/>
      <c r="J35" s="79" t="s">
        <v>33</v>
      </c>
      <c r="K35" s="79"/>
      <c r="L35" s="61">
        <v>125</v>
      </c>
      <c r="M35" s="61"/>
      <c r="N35" s="61"/>
      <c r="O35" s="61"/>
      <c r="P35" s="28" t="s">
        <v>34</v>
      </c>
      <c r="Q35" s="61">
        <f>+F35*L35</f>
        <v>312.5</v>
      </c>
      <c r="R35" s="61"/>
      <c r="S35" s="61"/>
      <c r="T35" s="61"/>
      <c r="U35" s="61"/>
      <c r="V35" s="29"/>
      <c r="W35" s="80" t="s">
        <v>35</v>
      </c>
      <c r="X35" s="80"/>
      <c r="Y35" s="80"/>
      <c r="Z35" s="80"/>
      <c r="AA35" s="80"/>
      <c r="AB35" s="61"/>
      <c r="AC35" s="61"/>
      <c r="AD35" s="77"/>
      <c r="AE35" s="77"/>
      <c r="AF35" s="78" t="s">
        <v>33</v>
      </c>
      <c r="AG35" s="78"/>
      <c r="AH35" s="61"/>
      <c r="AI35" s="77"/>
      <c r="AJ35" s="61"/>
      <c r="AK35" s="77"/>
      <c r="AL35" s="30" t="s">
        <v>34</v>
      </c>
      <c r="AM35" s="61">
        <f>+AB35*AH35</f>
        <v>0</v>
      </c>
      <c r="AN35" s="77"/>
      <c r="AO35" s="77"/>
      <c r="AP35" s="77"/>
      <c r="AQ35" s="61"/>
      <c r="AR35" s="29"/>
      <c r="AS35" s="79" t="s">
        <v>19</v>
      </c>
      <c r="AT35" s="79"/>
      <c r="AU35" s="79"/>
      <c r="AV35" s="61">
        <f>+Q35+AM35</f>
        <v>312.5</v>
      </c>
      <c r="AW35" s="77"/>
      <c r="AX35" s="77"/>
      <c r="AY35" s="61"/>
      <c r="AZ35" s="77"/>
      <c r="BA35" s="77"/>
    </row>
    <row r="36" spans="1:53" s="17" customFormat="1" ht="15" customHeight="1" x14ac:dyDescent="0.25">
      <c r="A36" s="81" t="s">
        <v>36</v>
      </c>
      <c r="B36" s="81"/>
      <c r="C36" s="81"/>
      <c r="D36" s="81"/>
      <c r="E36" s="81"/>
      <c r="F36" s="75"/>
      <c r="G36" s="75"/>
      <c r="H36" s="75"/>
      <c r="I36" s="75"/>
      <c r="J36" s="81"/>
      <c r="K36" s="4"/>
      <c r="L36" s="75" t="s">
        <v>37</v>
      </c>
      <c r="M36" s="75"/>
      <c r="N36" s="75"/>
      <c r="O36" s="75"/>
      <c r="P36" s="81"/>
      <c r="Q36" s="75"/>
      <c r="R36" s="75"/>
      <c r="S36" s="75"/>
      <c r="T36" s="75"/>
      <c r="U36" s="75"/>
      <c r="V36" s="4"/>
      <c r="W36" s="42" t="s">
        <v>38</v>
      </c>
      <c r="X36" s="42"/>
      <c r="Y36" s="42"/>
      <c r="Z36" s="42"/>
      <c r="AA36" s="42"/>
      <c r="AB36" s="62"/>
      <c r="AC36" s="62"/>
      <c r="AD36" s="23"/>
      <c r="AE36" s="76">
        <v>0.39583333333333331</v>
      </c>
      <c r="AF36" s="76"/>
      <c r="AG36" s="76"/>
      <c r="AH36" s="76"/>
      <c r="AI36" s="24"/>
      <c r="AJ36" s="25" t="s">
        <v>29</v>
      </c>
      <c r="AK36" s="26" t="s">
        <v>30</v>
      </c>
      <c r="AL36" s="26"/>
      <c r="AM36" s="27"/>
      <c r="AN36" s="26" t="s">
        <v>31</v>
      </c>
      <c r="AO36" s="26"/>
      <c r="AP36" s="4"/>
      <c r="AQ36" s="76">
        <v>0.47916666666666669</v>
      </c>
      <c r="AR36" s="76"/>
      <c r="AS36" s="76"/>
      <c r="AT36" s="76"/>
      <c r="AU36" s="24"/>
      <c r="AV36" s="25" t="s">
        <v>29</v>
      </c>
      <c r="AW36" s="26" t="s">
        <v>30</v>
      </c>
      <c r="AX36" s="26"/>
      <c r="AY36" s="27"/>
      <c r="AZ36" s="26" t="s">
        <v>31</v>
      </c>
      <c r="BA36" s="26"/>
    </row>
    <row r="37" spans="1:53" s="17" customFormat="1" ht="13" x14ac:dyDescent="0.3">
      <c r="A37" s="80" t="s">
        <v>32</v>
      </c>
      <c r="B37" s="80"/>
      <c r="C37" s="80"/>
      <c r="D37" s="80"/>
      <c r="E37" s="80"/>
      <c r="F37" s="61">
        <v>2</v>
      </c>
      <c r="G37" s="61"/>
      <c r="H37" s="61"/>
      <c r="I37" s="61"/>
      <c r="J37" s="79" t="s">
        <v>33</v>
      </c>
      <c r="K37" s="79"/>
      <c r="L37" s="61">
        <v>85</v>
      </c>
      <c r="M37" s="61"/>
      <c r="N37" s="61"/>
      <c r="O37" s="61"/>
      <c r="P37" s="28" t="s">
        <v>34</v>
      </c>
      <c r="Q37" s="61">
        <f>+F37*L37</f>
        <v>170</v>
      </c>
      <c r="R37" s="61"/>
      <c r="S37" s="61"/>
      <c r="T37" s="61"/>
      <c r="U37" s="61"/>
      <c r="V37" s="29"/>
      <c r="W37" s="80" t="s">
        <v>35</v>
      </c>
      <c r="X37" s="80"/>
      <c r="Y37" s="80"/>
      <c r="Z37" s="80"/>
      <c r="AA37" s="80"/>
      <c r="AB37" s="61">
        <v>0</v>
      </c>
      <c r="AC37" s="61"/>
      <c r="AD37" s="77"/>
      <c r="AE37" s="77"/>
      <c r="AF37" s="78" t="s">
        <v>33</v>
      </c>
      <c r="AG37" s="78"/>
      <c r="AH37" s="61"/>
      <c r="AI37" s="77"/>
      <c r="AJ37" s="61"/>
      <c r="AK37" s="77"/>
      <c r="AL37" s="30" t="s">
        <v>34</v>
      </c>
      <c r="AM37" s="61">
        <f>+AB37*AH37</f>
        <v>0</v>
      </c>
      <c r="AN37" s="77"/>
      <c r="AO37" s="77"/>
      <c r="AP37" s="77"/>
      <c r="AQ37" s="61"/>
      <c r="AR37" s="29"/>
      <c r="AS37" s="79" t="s">
        <v>19</v>
      </c>
      <c r="AT37" s="79"/>
      <c r="AU37" s="79"/>
      <c r="AV37" s="61">
        <f>+Q37+AM37</f>
        <v>170</v>
      </c>
      <c r="AW37" s="77"/>
      <c r="AX37" s="77"/>
      <c r="AY37" s="61"/>
      <c r="AZ37" s="77"/>
      <c r="BA37" s="77"/>
    </row>
    <row r="38" spans="1:53" s="17" customFormat="1" ht="15" customHeight="1" x14ac:dyDescent="0.25">
      <c r="A38" s="81"/>
      <c r="B38" s="81"/>
      <c r="C38" s="81"/>
      <c r="D38" s="81"/>
      <c r="E38" s="81"/>
      <c r="F38" s="75"/>
      <c r="G38" s="75"/>
      <c r="H38" s="75"/>
      <c r="I38" s="75"/>
      <c r="J38" s="81"/>
      <c r="K38" s="4"/>
      <c r="L38" s="75"/>
      <c r="M38" s="75"/>
      <c r="N38" s="75"/>
      <c r="O38" s="75"/>
      <c r="P38" s="81"/>
      <c r="Q38" s="75"/>
      <c r="R38" s="75"/>
      <c r="S38" s="75"/>
      <c r="T38" s="75"/>
      <c r="U38" s="75"/>
      <c r="V38" s="4"/>
      <c r="W38" s="42"/>
      <c r="X38" s="42"/>
      <c r="Y38" s="42"/>
      <c r="Z38" s="42"/>
      <c r="AA38" s="42"/>
      <c r="AB38" s="62"/>
      <c r="AC38" s="62"/>
      <c r="AD38" s="23"/>
      <c r="AE38" s="76"/>
      <c r="AF38" s="76"/>
      <c r="AG38" s="76"/>
      <c r="AH38" s="76"/>
      <c r="AI38" s="24"/>
      <c r="AJ38" s="25"/>
      <c r="AK38" s="26" t="s">
        <v>30</v>
      </c>
      <c r="AL38" s="26"/>
      <c r="AM38" s="27"/>
      <c r="AN38" s="26" t="s">
        <v>31</v>
      </c>
      <c r="AO38" s="26"/>
      <c r="AP38" s="4"/>
      <c r="AQ38" s="76"/>
      <c r="AR38" s="76"/>
      <c r="AS38" s="76"/>
      <c r="AT38" s="76"/>
      <c r="AU38" s="24"/>
      <c r="AV38" s="25"/>
      <c r="AW38" s="26" t="s">
        <v>30</v>
      </c>
      <c r="AX38" s="26"/>
      <c r="AY38" s="27"/>
      <c r="AZ38" s="26" t="s">
        <v>31</v>
      </c>
      <c r="BA38" s="26"/>
    </row>
    <row r="39" spans="1:53" s="17" customFormat="1" ht="13" x14ac:dyDescent="0.3">
      <c r="A39" s="80" t="s">
        <v>32</v>
      </c>
      <c r="B39" s="80"/>
      <c r="C39" s="80"/>
      <c r="D39" s="80"/>
      <c r="E39" s="80"/>
      <c r="F39" s="61"/>
      <c r="G39" s="61"/>
      <c r="H39" s="61"/>
      <c r="I39" s="61"/>
      <c r="J39" s="79" t="s">
        <v>33</v>
      </c>
      <c r="K39" s="79"/>
      <c r="L39" s="61"/>
      <c r="M39" s="61"/>
      <c r="N39" s="61"/>
      <c r="O39" s="61"/>
      <c r="P39" s="28" t="s">
        <v>34</v>
      </c>
      <c r="Q39" s="61">
        <f>+F39*L39</f>
        <v>0</v>
      </c>
      <c r="R39" s="61"/>
      <c r="S39" s="61"/>
      <c r="T39" s="61"/>
      <c r="U39" s="61"/>
      <c r="V39" s="29"/>
      <c r="W39" s="80"/>
      <c r="X39" s="80"/>
      <c r="Y39" s="80"/>
      <c r="Z39" s="80"/>
      <c r="AA39" s="80"/>
      <c r="AB39" s="61"/>
      <c r="AC39" s="61"/>
      <c r="AD39" s="77"/>
      <c r="AE39" s="77"/>
      <c r="AF39" s="78" t="s">
        <v>33</v>
      </c>
      <c r="AG39" s="78"/>
      <c r="AH39" s="61"/>
      <c r="AI39" s="77"/>
      <c r="AJ39" s="61"/>
      <c r="AK39" s="77"/>
      <c r="AL39" s="30" t="s">
        <v>34</v>
      </c>
      <c r="AM39" s="61">
        <f>+AB39*AH39</f>
        <v>0</v>
      </c>
      <c r="AN39" s="77"/>
      <c r="AO39" s="77"/>
      <c r="AP39" s="77"/>
      <c r="AQ39" s="61"/>
      <c r="AR39" s="29"/>
      <c r="AS39" s="79" t="s">
        <v>19</v>
      </c>
      <c r="AT39" s="79"/>
      <c r="AU39" s="79"/>
      <c r="AV39" s="61">
        <f>+Q39+AM39</f>
        <v>0</v>
      </c>
      <c r="AW39" s="77"/>
      <c r="AX39" s="77"/>
      <c r="AY39" s="61"/>
      <c r="AZ39" s="77"/>
      <c r="BA39" s="77"/>
    </row>
    <row r="40" spans="1:53" s="17" customFormat="1" ht="15" customHeight="1" x14ac:dyDescent="0.25">
      <c r="A40" s="81"/>
      <c r="B40" s="81"/>
      <c r="C40" s="81"/>
      <c r="D40" s="81"/>
      <c r="E40" s="81"/>
      <c r="F40" s="75"/>
      <c r="G40" s="75"/>
      <c r="H40" s="75"/>
      <c r="I40" s="75"/>
      <c r="J40" s="81"/>
      <c r="K40" s="4"/>
      <c r="L40" s="75"/>
      <c r="M40" s="75"/>
      <c r="N40" s="75"/>
      <c r="O40" s="75"/>
      <c r="P40" s="81"/>
      <c r="Q40" s="75"/>
      <c r="R40" s="75"/>
      <c r="S40" s="75"/>
      <c r="T40" s="75"/>
      <c r="U40" s="75"/>
      <c r="V40" s="4"/>
      <c r="W40" s="42"/>
      <c r="X40" s="42"/>
      <c r="Y40" s="42"/>
      <c r="Z40" s="42"/>
      <c r="AA40" s="42"/>
      <c r="AB40" s="62"/>
      <c r="AC40" s="62"/>
      <c r="AD40" s="31"/>
      <c r="AE40" s="76"/>
      <c r="AF40" s="82"/>
      <c r="AG40" s="82"/>
      <c r="AH40" s="76"/>
      <c r="AI40" s="24"/>
      <c r="AJ40" s="25"/>
      <c r="AK40" s="4" t="s">
        <v>30</v>
      </c>
      <c r="AL40" s="4"/>
      <c r="AM40" s="25"/>
      <c r="AN40" s="4" t="s">
        <v>31</v>
      </c>
      <c r="AO40" s="4"/>
      <c r="AP40" s="4"/>
      <c r="AQ40" s="76"/>
      <c r="AR40" s="82"/>
      <c r="AS40" s="82"/>
      <c r="AT40" s="82"/>
      <c r="AU40" s="24"/>
      <c r="AV40" s="25"/>
      <c r="AW40" s="26" t="s">
        <v>30</v>
      </c>
      <c r="AX40" s="26"/>
      <c r="AY40" s="27"/>
      <c r="AZ40" s="26" t="s">
        <v>31</v>
      </c>
      <c r="BA40" s="26"/>
    </row>
    <row r="41" spans="1:53" s="17" customFormat="1" ht="13" x14ac:dyDescent="0.3">
      <c r="A41" s="80" t="s">
        <v>32</v>
      </c>
      <c r="B41" s="80"/>
      <c r="C41" s="80"/>
      <c r="D41" s="80"/>
      <c r="E41" s="80"/>
      <c r="F41" s="61"/>
      <c r="G41" s="61"/>
      <c r="H41" s="61"/>
      <c r="I41" s="61"/>
      <c r="J41" s="79" t="s">
        <v>33</v>
      </c>
      <c r="K41" s="79"/>
      <c r="L41" s="61"/>
      <c r="M41" s="61"/>
      <c r="N41" s="61"/>
      <c r="O41" s="61"/>
      <c r="P41" s="30" t="s">
        <v>34</v>
      </c>
      <c r="Q41" s="61">
        <f>+F41*L41</f>
        <v>0</v>
      </c>
      <c r="R41" s="61"/>
      <c r="S41" s="61"/>
      <c r="T41" s="61"/>
      <c r="U41" s="61"/>
      <c r="V41" s="32"/>
      <c r="W41" s="80" t="s">
        <v>35</v>
      </c>
      <c r="X41" s="80"/>
      <c r="Y41" s="80"/>
      <c r="Z41" s="80"/>
      <c r="AA41" s="80"/>
      <c r="AB41" s="61"/>
      <c r="AC41" s="61"/>
      <c r="AD41" s="77"/>
      <c r="AE41" s="77"/>
      <c r="AF41" s="78" t="s">
        <v>33</v>
      </c>
      <c r="AG41" s="78"/>
      <c r="AH41" s="61"/>
      <c r="AI41" s="77"/>
      <c r="AJ41" s="61"/>
      <c r="AK41" s="77"/>
      <c r="AL41" s="30" t="s">
        <v>34</v>
      </c>
      <c r="AM41" s="61">
        <f>+AB41*AH41</f>
        <v>0</v>
      </c>
      <c r="AN41" s="77"/>
      <c r="AO41" s="77"/>
      <c r="AP41" s="77"/>
      <c r="AQ41" s="61"/>
      <c r="AR41" s="29"/>
      <c r="AS41" s="79" t="s">
        <v>19</v>
      </c>
      <c r="AT41" s="79"/>
      <c r="AU41" s="79"/>
      <c r="AV41" s="61">
        <f>+Q41+AM41</f>
        <v>0</v>
      </c>
      <c r="AW41" s="77"/>
      <c r="AX41" s="77"/>
      <c r="AY41" s="61"/>
      <c r="AZ41" s="77"/>
      <c r="BA41" s="77"/>
    </row>
    <row r="42" spans="1:53" s="17" customFormat="1" ht="5.5" customHeight="1" thickBot="1" x14ac:dyDescent="0.35">
      <c r="A42" s="10"/>
      <c r="B42" s="11"/>
      <c r="C42" s="11"/>
      <c r="D42" s="11"/>
      <c r="E42" s="11"/>
      <c r="F42" s="12"/>
      <c r="G42" s="12"/>
      <c r="H42" s="12"/>
      <c r="I42" s="12"/>
      <c r="J42" s="13"/>
      <c r="K42" s="14"/>
      <c r="L42" s="14"/>
      <c r="M42" s="14"/>
      <c r="N42" s="14"/>
      <c r="O42" s="14"/>
      <c r="P42" s="15"/>
      <c r="Q42" s="14"/>
      <c r="R42" s="14"/>
      <c r="S42" s="14"/>
      <c r="T42" s="14"/>
      <c r="U42" s="14"/>
      <c r="V42" s="14"/>
      <c r="W42" s="15"/>
      <c r="X42" s="10"/>
      <c r="Y42" s="11"/>
      <c r="Z42" s="16"/>
      <c r="AA42" s="12"/>
      <c r="AB42" s="12"/>
      <c r="AC42" s="12"/>
      <c r="AD42" s="12"/>
      <c r="AE42" s="15"/>
      <c r="AF42" s="14"/>
      <c r="AG42" s="14"/>
      <c r="AH42" s="14"/>
      <c r="AI42" s="14"/>
      <c r="AJ42" s="14"/>
      <c r="AK42" s="15"/>
      <c r="AL42" s="14"/>
      <c r="AM42" s="14"/>
      <c r="AN42" s="14"/>
      <c r="AO42" s="14"/>
      <c r="AP42" s="14"/>
      <c r="AQ42" s="14"/>
      <c r="AR42" s="15"/>
      <c r="AS42" s="15"/>
      <c r="AT42" s="10"/>
      <c r="AU42" s="16"/>
      <c r="AV42" s="14"/>
      <c r="AW42" s="14"/>
      <c r="AX42" s="14"/>
      <c r="AY42" s="14"/>
      <c r="AZ42" s="14"/>
      <c r="BA42" s="14"/>
    </row>
    <row r="43" spans="1:53" s="17" customFormat="1" ht="5.5" customHeight="1" thickTop="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row>
    <row r="44" spans="1:53" s="17" customFormat="1" ht="13" x14ac:dyDescent="0.3">
      <c r="A44" s="44" t="s">
        <v>39</v>
      </c>
      <c r="B44" s="44"/>
      <c r="C44" s="44"/>
      <c r="D44" s="44"/>
      <c r="E44" s="44"/>
      <c r="F44" s="44"/>
      <c r="G44" s="44"/>
      <c r="H44" s="1"/>
      <c r="I44" s="44" t="s">
        <v>40</v>
      </c>
      <c r="J44" s="44"/>
      <c r="K44" s="44"/>
      <c r="L44" s="44"/>
      <c r="M44" s="1"/>
      <c r="N44" s="83" t="s">
        <v>41</v>
      </c>
      <c r="O44" s="83"/>
      <c r="P44" s="83"/>
      <c r="Q44" s="83"/>
      <c r="R44" s="83"/>
      <c r="S44" s="1"/>
      <c r="T44" s="83" t="s">
        <v>19</v>
      </c>
      <c r="U44" s="83"/>
      <c r="V44" s="83"/>
      <c r="W44" s="83"/>
      <c r="X44" s="83"/>
      <c r="Y44" s="83"/>
      <c r="Z44" s="1"/>
      <c r="AA44" s="1"/>
      <c r="AB44" s="1"/>
      <c r="AC44" s="44" t="s">
        <v>39</v>
      </c>
      <c r="AD44" s="44"/>
      <c r="AE44" s="44"/>
      <c r="AF44" s="44"/>
      <c r="AG44" s="44"/>
      <c r="AH44" s="44"/>
      <c r="AI44" s="44"/>
      <c r="AJ44" s="1"/>
      <c r="AK44" s="44" t="s">
        <v>40</v>
      </c>
      <c r="AL44" s="44"/>
      <c r="AM44" s="44"/>
      <c r="AN44" s="44"/>
      <c r="AO44" s="1"/>
      <c r="AP44" s="83" t="s">
        <v>41</v>
      </c>
      <c r="AQ44" s="83"/>
      <c r="AR44" s="83"/>
      <c r="AS44" s="83"/>
      <c r="AT44" s="83"/>
      <c r="AU44" s="1"/>
      <c r="AV44" s="83" t="s">
        <v>19</v>
      </c>
      <c r="AW44" s="83"/>
      <c r="AX44" s="83"/>
      <c r="AY44" s="83"/>
      <c r="AZ44" s="83"/>
      <c r="BA44" s="83"/>
    </row>
    <row r="45" spans="1:53" s="17" customFormat="1" ht="15" customHeight="1" x14ac:dyDescent="0.3">
      <c r="A45" s="87" t="s">
        <v>42</v>
      </c>
      <c r="B45" s="87"/>
      <c r="C45" s="84"/>
      <c r="D45" s="84"/>
      <c r="E45" s="84"/>
      <c r="F45" s="84"/>
      <c r="G45" s="84"/>
      <c r="H45" s="23"/>
      <c r="I45" s="85"/>
      <c r="J45" s="85"/>
      <c r="K45" s="85"/>
      <c r="L45" s="85"/>
      <c r="M45" s="23"/>
      <c r="N45" s="61"/>
      <c r="O45" s="61"/>
      <c r="P45" s="61"/>
      <c r="Q45" s="61"/>
      <c r="R45" s="61"/>
      <c r="S45" s="2"/>
      <c r="T45" s="61">
        <f>+I45*N45</f>
        <v>0</v>
      </c>
      <c r="U45" s="61"/>
      <c r="V45" s="61"/>
      <c r="W45" s="61"/>
      <c r="X45" s="61"/>
      <c r="Y45" s="61"/>
      <c r="Z45" s="1"/>
      <c r="AA45" s="1"/>
      <c r="AB45" s="1"/>
      <c r="AC45" s="87" t="s">
        <v>43</v>
      </c>
      <c r="AD45" s="87"/>
      <c r="AE45" s="84"/>
      <c r="AF45" s="84"/>
      <c r="AG45" s="84"/>
      <c r="AH45" s="84"/>
      <c r="AI45" s="84"/>
      <c r="AJ45" s="23"/>
      <c r="AK45" s="85"/>
      <c r="AL45" s="85"/>
      <c r="AM45" s="85"/>
      <c r="AN45" s="85"/>
      <c r="AO45" s="23"/>
      <c r="AP45" s="61"/>
      <c r="AQ45" s="61"/>
      <c r="AR45" s="61"/>
      <c r="AS45" s="61"/>
      <c r="AT45" s="61"/>
      <c r="AU45" s="2"/>
      <c r="AV45" s="61">
        <f>+AK45*AP45</f>
        <v>0</v>
      </c>
      <c r="AW45" s="61"/>
      <c r="AX45" s="61"/>
      <c r="AY45" s="61"/>
      <c r="AZ45" s="61"/>
      <c r="BA45" s="61"/>
    </row>
    <row r="46" spans="1:53" s="17" customFormat="1" ht="15" customHeight="1" x14ac:dyDescent="0.3">
      <c r="A46" s="86" t="s">
        <v>44</v>
      </c>
      <c r="B46" s="86"/>
      <c r="C46" s="84"/>
      <c r="D46" s="84"/>
      <c r="E46" s="84"/>
      <c r="F46" s="84"/>
      <c r="G46" s="84"/>
      <c r="H46" s="33"/>
      <c r="I46" s="85"/>
      <c r="J46" s="85"/>
      <c r="K46" s="85"/>
      <c r="L46" s="85"/>
      <c r="M46" s="23"/>
      <c r="N46" s="61"/>
      <c r="O46" s="61"/>
      <c r="P46" s="61"/>
      <c r="Q46" s="61"/>
      <c r="R46" s="61"/>
      <c r="S46" s="2"/>
      <c r="T46" s="61">
        <f>+I46*N46</f>
        <v>0</v>
      </c>
      <c r="U46" s="61"/>
      <c r="V46" s="61"/>
      <c r="W46" s="61"/>
      <c r="X46" s="61"/>
      <c r="Y46" s="61"/>
      <c r="Z46" s="1"/>
      <c r="AA46" s="1"/>
      <c r="AB46" s="1"/>
      <c r="AC46" s="86" t="s">
        <v>45</v>
      </c>
      <c r="AD46" s="86"/>
      <c r="AE46" s="84"/>
      <c r="AF46" s="84"/>
      <c r="AG46" s="84"/>
      <c r="AH46" s="84"/>
      <c r="AI46" s="84"/>
      <c r="AJ46" s="23"/>
      <c r="AK46" s="85"/>
      <c r="AL46" s="85"/>
      <c r="AM46" s="85"/>
      <c r="AN46" s="85"/>
      <c r="AO46" s="23"/>
      <c r="AP46" s="61"/>
      <c r="AQ46" s="61"/>
      <c r="AR46" s="61"/>
      <c r="AS46" s="61"/>
      <c r="AT46" s="61"/>
      <c r="AU46" s="2"/>
      <c r="AV46" s="61">
        <f>+AK46*AP46</f>
        <v>0</v>
      </c>
      <c r="AW46" s="61"/>
      <c r="AX46" s="61"/>
      <c r="AY46" s="61"/>
      <c r="AZ46" s="61"/>
      <c r="BA46" s="61"/>
    </row>
    <row r="47" spans="1:53" s="17" customFormat="1" ht="5.5" customHeight="1" thickBot="1" x14ac:dyDescent="0.35">
      <c r="A47" s="10"/>
      <c r="B47" s="11"/>
      <c r="C47" s="11"/>
      <c r="D47" s="11"/>
      <c r="E47" s="11"/>
      <c r="F47" s="12"/>
      <c r="G47" s="12"/>
      <c r="H47" s="12"/>
      <c r="I47" s="12"/>
      <c r="J47" s="13"/>
      <c r="K47" s="14"/>
      <c r="L47" s="14"/>
      <c r="M47" s="14"/>
      <c r="N47" s="14"/>
      <c r="O47" s="14"/>
      <c r="P47" s="15"/>
      <c r="Q47" s="14"/>
      <c r="R47" s="14"/>
      <c r="S47" s="14"/>
      <c r="T47" s="14"/>
      <c r="U47" s="14"/>
      <c r="V47" s="14"/>
      <c r="W47" s="15"/>
      <c r="X47" s="10"/>
      <c r="Y47" s="11"/>
      <c r="Z47" s="16"/>
      <c r="AA47" s="12"/>
      <c r="AB47" s="12"/>
      <c r="AC47" s="12"/>
      <c r="AD47" s="12"/>
      <c r="AE47" s="15"/>
      <c r="AF47" s="14"/>
      <c r="AG47" s="14"/>
      <c r="AH47" s="14"/>
      <c r="AI47" s="14"/>
      <c r="AJ47" s="14"/>
      <c r="AK47" s="15"/>
      <c r="AL47" s="14"/>
      <c r="AM47" s="14"/>
      <c r="AN47" s="14"/>
      <c r="AO47" s="14"/>
      <c r="AP47" s="14"/>
      <c r="AQ47" s="14"/>
      <c r="AR47" s="15"/>
      <c r="AS47" s="15"/>
      <c r="AT47" s="10"/>
      <c r="AU47" s="16"/>
      <c r="AV47" s="14"/>
      <c r="AW47" s="14"/>
      <c r="AX47" s="14"/>
      <c r="AY47" s="14"/>
      <c r="AZ47" s="14"/>
      <c r="BA47" s="14"/>
    </row>
    <row r="48" spans="1:53" s="17" customFormat="1" ht="5.5" customHeight="1" thickTop="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row>
    <row r="49" spans="1:53" s="17" customFormat="1" ht="13" x14ac:dyDescent="0.3">
      <c r="A49" s="44" t="s">
        <v>46</v>
      </c>
      <c r="B49" s="44"/>
      <c r="C49" s="44"/>
      <c r="D49" s="44"/>
      <c r="E49" s="44"/>
      <c r="F49" s="44"/>
      <c r="G49" s="44"/>
      <c r="H49" s="44"/>
      <c r="I49" s="44"/>
      <c r="J49" s="44"/>
      <c r="K49" s="44"/>
      <c r="L49" s="44"/>
      <c r="M49" s="44"/>
      <c r="N49" s="44"/>
      <c r="O49" s="1"/>
      <c r="P49" s="44" t="s">
        <v>47</v>
      </c>
      <c r="Q49" s="44"/>
      <c r="R49" s="44"/>
      <c r="S49" s="44"/>
      <c r="T49" s="44"/>
      <c r="U49" s="44"/>
      <c r="V49" s="44"/>
      <c r="W49" s="44"/>
      <c r="X49" s="1"/>
      <c r="Y49" s="44" t="s">
        <v>48</v>
      </c>
      <c r="Z49" s="44"/>
      <c r="AA49" s="44"/>
      <c r="AB49" s="44"/>
      <c r="AC49" s="44"/>
      <c r="AD49" s="44"/>
      <c r="AE49" s="44"/>
      <c r="AF49" s="44"/>
      <c r="AG49" s="1"/>
      <c r="AH49" s="83" t="s">
        <v>49</v>
      </c>
      <c r="AI49" s="83"/>
      <c r="AJ49" s="83"/>
      <c r="AK49" s="83"/>
      <c r="AL49" s="83"/>
      <c r="AM49" s="83"/>
      <c r="AN49" s="83"/>
      <c r="AO49" s="1"/>
      <c r="AP49" s="83" t="s">
        <v>41</v>
      </c>
      <c r="AQ49" s="83"/>
      <c r="AR49" s="83"/>
      <c r="AS49" s="83"/>
      <c r="AT49" s="83"/>
      <c r="AU49" s="1"/>
      <c r="AV49" s="83" t="s">
        <v>50</v>
      </c>
      <c r="AW49" s="83"/>
      <c r="AX49" s="83"/>
      <c r="AY49" s="83"/>
      <c r="AZ49" s="83"/>
      <c r="BA49" s="83"/>
    </row>
    <row r="50" spans="1:53" s="17" customFormat="1" ht="15" customHeight="1" x14ac:dyDescent="0.3">
      <c r="A50" s="87" t="s">
        <v>42</v>
      </c>
      <c r="B50" s="87"/>
      <c r="C50" s="75">
        <v>7877</v>
      </c>
      <c r="D50" s="75"/>
      <c r="E50" s="75"/>
      <c r="F50" s="75"/>
      <c r="G50" s="75"/>
      <c r="H50" s="75"/>
      <c r="I50" s="75"/>
      <c r="J50" s="75"/>
      <c r="K50" s="75"/>
      <c r="L50" s="75"/>
      <c r="M50" s="75"/>
      <c r="N50" s="75"/>
      <c r="O50" s="1"/>
      <c r="P50" s="89">
        <v>57800</v>
      </c>
      <c r="Q50" s="89"/>
      <c r="R50" s="89"/>
      <c r="S50" s="89"/>
      <c r="T50" s="89"/>
      <c r="U50" s="89"/>
      <c r="V50" s="89"/>
      <c r="W50" s="89"/>
      <c r="X50" s="39"/>
      <c r="Y50" s="89">
        <v>57875</v>
      </c>
      <c r="Z50" s="89"/>
      <c r="AA50" s="89"/>
      <c r="AB50" s="89"/>
      <c r="AC50" s="89"/>
      <c r="AD50" s="89"/>
      <c r="AE50" s="89"/>
      <c r="AF50" s="89"/>
      <c r="AG50" s="6"/>
      <c r="AH50" s="90">
        <f>Y50-P50</f>
        <v>75</v>
      </c>
      <c r="AI50" s="90"/>
      <c r="AJ50" s="90"/>
      <c r="AK50" s="90"/>
      <c r="AL50" s="90"/>
      <c r="AM50" s="90"/>
      <c r="AN50" s="90"/>
      <c r="AO50" s="6"/>
      <c r="AP50" s="88">
        <v>1.95</v>
      </c>
      <c r="AQ50" s="88"/>
      <c r="AR50" s="88"/>
      <c r="AS50" s="88"/>
      <c r="AT50" s="88"/>
      <c r="AU50" s="6"/>
      <c r="AV50" s="88">
        <f>+AH50*AP50</f>
        <v>146.25</v>
      </c>
      <c r="AW50" s="88"/>
      <c r="AX50" s="88"/>
      <c r="AY50" s="88"/>
      <c r="AZ50" s="88"/>
      <c r="BA50" s="88"/>
    </row>
    <row r="51" spans="1:53" s="17" customFormat="1" ht="15" customHeight="1" x14ac:dyDescent="0.3">
      <c r="A51" s="86" t="s">
        <v>43</v>
      </c>
      <c r="B51" s="86"/>
      <c r="C51" s="75">
        <v>9841</v>
      </c>
      <c r="D51" s="75"/>
      <c r="E51" s="75"/>
      <c r="F51" s="75"/>
      <c r="G51" s="75"/>
      <c r="H51" s="75"/>
      <c r="I51" s="75"/>
      <c r="J51" s="75"/>
      <c r="K51" s="75"/>
      <c r="L51" s="75"/>
      <c r="M51" s="75"/>
      <c r="N51" s="75"/>
      <c r="O51" s="1"/>
      <c r="P51" s="89">
        <v>33190</v>
      </c>
      <c r="Q51" s="89"/>
      <c r="R51" s="89"/>
      <c r="S51" s="89"/>
      <c r="T51" s="89"/>
      <c r="U51" s="89"/>
      <c r="V51" s="89"/>
      <c r="W51" s="89"/>
      <c r="X51" s="39"/>
      <c r="Y51" s="89">
        <v>33250</v>
      </c>
      <c r="Z51" s="89"/>
      <c r="AA51" s="89"/>
      <c r="AB51" s="89"/>
      <c r="AC51" s="89"/>
      <c r="AD51" s="89"/>
      <c r="AE51" s="89"/>
      <c r="AF51" s="89"/>
      <c r="AG51" s="6"/>
      <c r="AH51" s="90">
        <f>Y51-P51</f>
        <v>60</v>
      </c>
      <c r="AI51" s="90"/>
      <c r="AJ51" s="90"/>
      <c r="AK51" s="90"/>
      <c r="AL51" s="90"/>
      <c r="AM51" s="90"/>
      <c r="AN51" s="90"/>
      <c r="AO51" s="6"/>
      <c r="AP51" s="88">
        <v>1.95</v>
      </c>
      <c r="AQ51" s="88"/>
      <c r="AR51" s="88"/>
      <c r="AS51" s="88"/>
      <c r="AT51" s="88"/>
      <c r="AU51" s="6"/>
      <c r="AV51" s="88">
        <f>+AH51*AP51</f>
        <v>117</v>
      </c>
      <c r="AW51" s="88"/>
      <c r="AX51" s="88"/>
      <c r="AY51" s="88"/>
      <c r="AZ51" s="88"/>
      <c r="BA51" s="88"/>
    </row>
    <row r="52" spans="1:53" s="17" customFormat="1" ht="5.5" customHeight="1" thickBot="1" x14ac:dyDescent="0.35">
      <c r="A52" s="10"/>
      <c r="B52" s="11"/>
      <c r="C52" s="11"/>
      <c r="D52" s="11"/>
      <c r="E52" s="11"/>
      <c r="F52" s="12"/>
      <c r="G52" s="12"/>
      <c r="H52" s="12"/>
      <c r="I52" s="12"/>
      <c r="J52" s="13"/>
      <c r="K52" s="14"/>
      <c r="L52" s="14"/>
      <c r="M52" s="14"/>
      <c r="N52" s="14"/>
      <c r="O52" s="14"/>
      <c r="P52" s="15"/>
      <c r="Q52" s="14"/>
      <c r="R52" s="14"/>
      <c r="S52" s="14"/>
      <c r="T52" s="14"/>
      <c r="U52" s="14"/>
      <c r="V52" s="14"/>
      <c r="W52" s="15"/>
      <c r="X52" s="10"/>
      <c r="Y52" s="11"/>
      <c r="Z52" s="16"/>
      <c r="AA52" s="12"/>
      <c r="AB52" s="12"/>
      <c r="AC52" s="12"/>
      <c r="AD52" s="12"/>
      <c r="AE52" s="15"/>
      <c r="AF52" s="14"/>
      <c r="AG52" s="14"/>
      <c r="AH52" s="14"/>
      <c r="AI52" s="14"/>
      <c r="AJ52" s="14"/>
      <c r="AK52" s="15"/>
      <c r="AL52" s="14"/>
      <c r="AM52" s="14"/>
      <c r="AN52" s="14"/>
      <c r="AO52" s="14"/>
      <c r="AP52" s="14"/>
      <c r="AQ52" s="14"/>
      <c r="AR52" s="15"/>
      <c r="AS52" s="15"/>
      <c r="AT52" s="10"/>
      <c r="AU52" s="16"/>
      <c r="AV52" s="14"/>
      <c r="AW52" s="14"/>
      <c r="AX52" s="14"/>
      <c r="AY52" s="14"/>
      <c r="AZ52" s="14"/>
      <c r="BA52" s="14"/>
    </row>
    <row r="53" spans="1:53" s="17" customFormat="1" ht="5.5" customHeight="1" thickTop="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row>
    <row r="54" spans="1:53" s="17" customForma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row>
    <row r="55" spans="1:53" s="17" customFormat="1" ht="13"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K55" s="1"/>
      <c r="AL55" s="34"/>
      <c r="AM55" s="34"/>
      <c r="AN55" s="1"/>
      <c r="AO55" s="92" t="s">
        <v>51</v>
      </c>
      <c r="AP55" s="92"/>
      <c r="AQ55" s="92"/>
      <c r="AR55" s="92"/>
      <c r="AS55" s="92"/>
      <c r="AT55" s="92"/>
      <c r="AU55" s="77">
        <f>+AU30+AV35+AV37+AV39+AV41+T45+T46+AV45+AV46+AV50+AV51</f>
        <v>2333.31</v>
      </c>
      <c r="AV55" s="77"/>
      <c r="AW55" s="77"/>
      <c r="AX55" s="77"/>
      <c r="AY55" s="77"/>
      <c r="AZ55" s="77"/>
      <c r="BA55" s="77"/>
    </row>
    <row r="56" spans="1:53" s="17" customForma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row>
    <row r="57" spans="1:53" s="17" customFormat="1" ht="5.5" customHeight="1" thickBot="1" x14ac:dyDescent="0.35">
      <c r="A57" s="10"/>
      <c r="B57" s="11"/>
      <c r="C57" s="11"/>
      <c r="D57" s="11"/>
      <c r="E57" s="11"/>
      <c r="F57" s="12"/>
      <c r="G57" s="12"/>
      <c r="H57" s="12"/>
      <c r="I57" s="12"/>
      <c r="J57" s="13"/>
      <c r="K57" s="14"/>
      <c r="L57" s="14"/>
      <c r="M57" s="14"/>
      <c r="N57" s="14"/>
      <c r="O57" s="14"/>
      <c r="P57" s="15"/>
      <c r="Q57" s="14"/>
      <c r="R57" s="14"/>
      <c r="S57" s="14"/>
      <c r="T57" s="14"/>
      <c r="U57" s="14"/>
      <c r="V57" s="14"/>
      <c r="W57" s="15"/>
      <c r="X57" s="10"/>
      <c r="Y57" s="11"/>
      <c r="Z57" s="16"/>
      <c r="AA57" s="12"/>
      <c r="AB57" s="12"/>
      <c r="AC57" s="12"/>
      <c r="AD57" s="12"/>
      <c r="AE57" s="15"/>
      <c r="AF57" s="14"/>
      <c r="AG57" s="14"/>
      <c r="AH57" s="14"/>
      <c r="AI57" s="14"/>
      <c r="AJ57" s="14"/>
      <c r="AK57" s="15"/>
      <c r="AL57" s="14"/>
      <c r="AM57" s="14"/>
      <c r="AN57" s="14"/>
      <c r="AO57" s="14"/>
      <c r="AP57" s="14"/>
      <c r="AQ57" s="14"/>
      <c r="AR57" s="15"/>
      <c r="AS57" s="15"/>
      <c r="AT57" s="10"/>
      <c r="AU57" s="16"/>
      <c r="AV57" s="14"/>
      <c r="AW57" s="14"/>
      <c r="AX57" s="14"/>
      <c r="AY57" s="14"/>
      <c r="AZ57" s="14"/>
      <c r="BA57" s="14"/>
    </row>
    <row r="58" spans="1:53" s="17" customFormat="1" ht="5.5" customHeight="1" thickTop="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row>
    <row r="59" spans="1:53" ht="17.5" customHeight="1" x14ac:dyDescent="0.55000000000000004">
      <c r="A59" s="93"/>
      <c r="B59" s="93"/>
      <c r="C59" s="93"/>
      <c r="D59" s="93"/>
      <c r="E59" s="93"/>
      <c r="F59" s="93"/>
      <c r="G59" s="93"/>
      <c r="H59" s="93"/>
      <c r="I59" s="93"/>
      <c r="J59" s="93"/>
      <c r="K59" s="93"/>
      <c r="L59" s="93"/>
      <c r="M59" s="93"/>
      <c r="N59" s="93"/>
      <c r="O59" s="35"/>
      <c r="P59" s="94"/>
      <c r="Q59" s="94"/>
      <c r="R59" s="94"/>
      <c r="S59" s="94"/>
      <c r="T59" s="94"/>
      <c r="U59" s="94"/>
      <c r="V59" s="35"/>
      <c r="W59" s="35" t="s">
        <v>52</v>
      </c>
      <c r="X59" s="95" t="s">
        <v>53</v>
      </c>
      <c r="Y59" s="96"/>
      <c r="Z59" s="96"/>
      <c r="AA59" s="96"/>
      <c r="AB59" s="96"/>
      <c r="AC59" s="96"/>
      <c r="AD59" s="96"/>
      <c r="AE59" s="96"/>
      <c r="AF59" s="96"/>
      <c r="AG59" s="96"/>
      <c r="AH59" s="96"/>
      <c r="AI59" s="96"/>
      <c r="AJ59" s="96"/>
      <c r="AK59" s="96"/>
      <c r="AL59" s="35"/>
      <c r="AM59" s="97">
        <v>46111</v>
      </c>
      <c r="AN59" s="97"/>
      <c r="AO59" s="97"/>
      <c r="AP59" s="97"/>
      <c r="AQ59" s="97"/>
      <c r="AR59" s="97"/>
      <c r="AS59" s="35"/>
      <c r="AT59" s="36"/>
      <c r="AU59" s="35" t="s">
        <v>54</v>
      </c>
      <c r="AV59" s="35"/>
      <c r="AW59" s="35"/>
      <c r="AX59" s="36" t="s">
        <v>29</v>
      </c>
      <c r="AY59" s="35" t="s">
        <v>55</v>
      </c>
      <c r="AZ59" s="35"/>
      <c r="BA59" s="35"/>
    </row>
    <row r="60" spans="1:53" x14ac:dyDescent="0.25">
      <c r="A60" s="91" t="s">
        <v>56</v>
      </c>
      <c r="B60" s="91"/>
      <c r="C60" s="91"/>
      <c r="D60" s="91"/>
      <c r="E60" s="91"/>
      <c r="F60" s="91"/>
      <c r="G60" s="91"/>
      <c r="H60" s="91"/>
      <c r="I60" s="91"/>
      <c r="J60" s="91"/>
      <c r="K60" s="91"/>
      <c r="L60" s="91"/>
      <c r="M60" s="91"/>
      <c r="N60" s="91"/>
      <c r="O60" s="37"/>
      <c r="P60" s="91" t="s">
        <v>11</v>
      </c>
      <c r="Q60" s="91"/>
      <c r="R60" s="91"/>
      <c r="S60" s="91"/>
      <c r="T60" s="91"/>
      <c r="U60" s="91"/>
      <c r="V60" s="35"/>
      <c r="W60" s="35"/>
      <c r="X60" s="91" t="s">
        <v>57</v>
      </c>
      <c r="Y60" s="91"/>
      <c r="Z60" s="91"/>
      <c r="AA60" s="91"/>
      <c r="AB60" s="91"/>
      <c r="AC60" s="91"/>
      <c r="AD60" s="91"/>
      <c r="AE60" s="91"/>
      <c r="AF60" s="91"/>
      <c r="AG60" s="91"/>
      <c r="AH60" s="91"/>
      <c r="AI60" s="91"/>
      <c r="AJ60" s="91"/>
      <c r="AK60" s="91"/>
      <c r="AL60" s="35"/>
      <c r="AM60" s="91" t="s">
        <v>11</v>
      </c>
      <c r="AN60" s="91"/>
      <c r="AO60" s="91"/>
      <c r="AP60" s="91"/>
      <c r="AQ60" s="91"/>
      <c r="AR60" s="91"/>
      <c r="AS60" s="35"/>
      <c r="AT60" s="38"/>
      <c r="AU60" s="35" t="s">
        <v>58</v>
      </c>
      <c r="AV60" s="35"/>
      <c r="AW60" s="35"/>
      <c r="AX60" s="38"/>
      <c r="AY60" s="35" t="s">
        <v>59</v>
      </c>
      <c r="AZ60" s="35"/>
      <c r="BA60" s="35"/>
    </row>
    <row r="61" spans="1:53"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row>
  </sheetData>
  <sheetProtection selectLockedCells="1"/>
  <mergeCells count="233">
    <mergeCell ref="A60:N60"/>
    <mergeCell ref="P60:U60"/>
    <mergeCell ref="X60:AK60"/>
    <mergeCell ref="AM60:AR60"/>
    <mergeCell ref="AO55:AT55"/>
    <mergeCell ref="AU55:BA55"/>
    <mergeCell ref="A59:N59"/>
    <mergeCell ref="P59:U59"/>
    <mergeCell ref="X59:AK59"/>
    <mergeCell ref="AM59:AR59"/>
    <mergeCell ref="A49:N49"/>
    <mergeCell ref="P49:W49"/>
    <mergeCell ref="Y49:AF49"/>
    <mergeCell ref="AH49:AN49"/>
    <mergeCell ref="AP49:AT49"/>
    <mergeCell ref="AV49:BA49"/>
    <mergeCell ref="AV50:BA50"/>
    <mergeCell ref="A51:B51"/>
    <mergeCell ref="C51:N51"/>
    <mergeCell ref="P51:W51"/>
    <mergeCell ref="Y51:AF51"/>
    <mergeCell ref="AH51:AN51"/>
    <mergeCell ref="AP51:AT51"/>
    <mergeCell ref="AV51:BA51"/>
    <mergeCell ref="A50:B50"/>
    <mergeCell ref="C50:N50"/>
    <mergeCell ref="P50:W50"/>
    <mergeCell ref="Y50:AF50"/>
    <mergeCell ref="AH50:AN50"/>
    <mergeCell ref="AP50:AT50"/>
    <mergeCell ref="AE45:AI45"/>
    <mergeCell ref="AK45:AN45"/>
    <mergeCell ref="AP45:AT45"/>
    <mergeCell ref="AV45:BA45"/>
    <mergeCell ref="A46:B46"/>
    <mergeCell ref="C46:G46"/>
    <mergeCell ref="I46:L46"/>
    <mergeCell ref="N46:R46"/>
    <mergeCell ref="T46:Y46"/>
    <mergeCell ref="AC46:AD46"/>
    <mergeCell ref="A45:B45"/>
    <mergeCell ref="C45:G45"/>
    <mergeCell ref="I45:L45"/>
    <mergeCell ref="N45:R45"/>
    <mergeCell ref="T45:Y45"/>
    <mergeCell ref="AC45:AD45"/>
    <mergeCell ref="AE46:AI46"/>
    <mergeCell ref="AK46:AN46"/>
    <mergeCell ref="AP46:AT46"/>
    <mergeCell ref="AV46:BA46"/>
    <mergeCell ref="AV41:BA41"/>
    <mergeCell ref="A44:G44"/>
    <mergeCell ref="I44:L44"/>
    <mergeCell ref="N44:R44"/>
    <mergeCell ref="T44:Y44"/>
    <mergeCell ref="AC44:AI44"/>
    <mergeCell ref="AK44:AN44"/>
    <mergeCell ref="AP44:AT44"/>
    <mergeCell ref="AV44:BA44"/>
    <mergeCell ref="W41:AA41"/>
    <mergeCell ref="AB41:AE41"/>
    <mergeCell ref="AF41:AG41"/>
    <mergeCell ref="AH41:AK41"/>
    <mergeCell ref="AM41:AQ41"/>
    <mergeCell ref="AS41:AU41"/>
    <mergeCell ref="A40:J40"/>
    <mergeCell ref="L40:U40"/>
    <mergeCell ref="W40:AC40"/>
    <mergeCell ref="AE40:AH40"/>
    <mergeCell ref="AQ40:AT40"/>
    <mergeCell ref="A41:E41"/>
    <mergeCell ref="F41:I41"/>
    <mergeCell ref="J41:K41"/>
    <mergeCell ref="L41:O41"/>
    <mergeCell ref="Q41:U41"/>
    <mergeCell ref="AB39:AE39"/>
    <mergeCell ref="AF39:AG39"/>
    <mergeCell ref="AH39:AK39"/>
    <mergeCell ref="AM39:AQ39"/>
    <mergeCell ref="AS39:AU39"/>
    <mergeCell ref="AV39:BA39"/>
    <mergeCell ref="A39:E39"/>
    <mergeCell ref="F39:I39"/>
    <mergeCell ref="J39:K39"/>
    <mergeCell ref="L39:O39"/>
    <mergeCell ref="Q39:U39"/>
    <mergeCell ref="W39:AA39"/>
    <mergeCell ref="AV37:BA37"/>
    <mergeCell ref="A38:J38"/>
    <mergeCell ref="L38:U38"/>
    <mergeCell ref="W38:AC38"/>
    <mergeCell ref="AE38:AH38"/>
    <mergeCell ref="AQ38:AT38"/>
    <mergeCell ref="W37:AA37"/>
    <mergeCell ref="AB37:AE37"/>
    <mergeCell ref="AF37:AG37"/>
    <mergeCell ref="AH37:AK37"/>
    <mergeCell ref="AM37:AQ37"/>
    <mergeCell ref="AS37:AU37"/>
    <mergeCell ref="A36:J36"/>
    <mergeCell ref="L36:U36"/>
    <mergeCell ref="W36:AC36"/>
    <mergeCell ref="AE36:AH36"/>
    <mergeCell ref="AQ36:AT36"/>
    <mergeCell ref="A37:E37"/>
    <mergeCell ref="F37:I37"/>
    <mergeCell ref="J37:K37"/>
    <mergeCell ref="L37:O37"/>
    <mergeCell ref="Q37:U37"/>
    <mergeCell ref="AB35:AE35"/>
    <mergeCell ref="AF35:AG35"/>
    <mergeCell ref="AH35:AK35"/>
    <mergeCell ref="AM35:AQ35"/>
    <mergeCell ref="AS35:AU35"/>
    <mergeCell ref="AV35:BA35"/>
    <mergeCell ref="A35:E35"/>
    <mergeCell ref="F35:I35"/>
    <mergeCell ref="J35:K35"/>
    <mergeCell ref="L35:O35"/>
    <mergeCell ref="Q35:U35"/>
    <mergeCell ref="W35:AA35"/>
    <mergeCell ref="A33:J33"/>
    <mergeCell ref="L33:U33"/>
    <mergeCell ref="W33:AC33"/>
    <mergeCell ref="AE33:AO33"/>
    <mergeCell ref="AQ33:BA33"/>
    <mergeCell ref="A34:J34"/>
    <mergeCell ref="L34:U34"/>
    <mergeCell ref="W34:AC34"/>
    <mergeCell ref="AE34:AH34"/>
    <mergeCell ref="AQ34:AT34"/>
    <mergeCell ref="A29:F29"/>
    <mergeCell ref="G29:O29"/>
    <mergeCell ref="P29:AM29"/>
    <mergeCell ref="AN29:AT29"/>
    <mergeCell ref="AU29:BA29"/>
    <mergeCell ref="AU30:BA30"/>
    <mergeCell ref="A27:F27"/>
    <mergeCell ref="G27:O27"/>
    <mergeCell ref="P27:AM27"/>
    <mergeCell ref="AN27:AT27"/>
    <mergeCell ref="AU27:BA27"/>
    <mergeCell ref="A28:F28"/>
    <mergeCell ref="G28:O28"/>
    <mergeCell ref="P28:AM28"/>
    <mergeCell ref="AN28:AT28"/>
    <mergeCell ref="AU28:BA28"/>
    <mergeCell ref="P30:AM30"/>
    <mergeCell ref="A25:F25"/>
    <mergeCell ref="G25:O25"/>
    <mergeCell ref="P25:AM25"/>
    <mergeCell ref="AN25:AT25"/>
    <mergeCell ref="AU25:BA25"/>
    <mergeCell ref="A26:F26"/>
    <mergeCell ref="G26:O26"/>
    <mergeCell ref="P26:AM26"/>
    <mergeCell ref="AN26:AT26"/>
    <mergeCell ref="AU26:BA26"/>
    <mergeCell ref="A23:F23"/>
    <mergeCell ref="G23:O23"/>
    <mergeCell ref="P23:AM23"/>
    <mergeCell ref="AN23:AT23"/>
    <mergeCell ref="AU23:BA23"/>
    <mergeCell ref="A24:F24"/>
    <mergeCell ref="G24:O24"/>
    <mergeCell ref="P24:AM24"/>
    <mergeCell ref="AN24:AT24"/>
    <mergeCell ref="AU24:BA24"/>
    <mergeCell ref="A21:F21"/>
    <mergeCell ref="G21:O21"/>
    <mergeCell ref="P21:AM21"/>
    <mergeCell ref="AN21:AT21"/>
    <mergeCell ref="AU21:BA21"/>
    <mergeCell ref="A22:F22"/>
    <mergeCell ref="G22:O22"/>
    <mergeCell ref="P22:AM22"/>
    <mergeCell ref="AN22:AT22"/>
    <mergeCell ref="AU22:BA22"/>
    <mergeCell ref="A19:F19"/>
    <mergeCell ref="G19:O19"/>
    <mergeCell ref="P19:AM19"/>
    <mergeCell ref="AN19:AT19"/>
    <mergeCell ref="AU19:BA19"/>
    <mergeCell ref="A20:F20"/>
    <mergeCell ref="G20:O20"/>
    <mergeCell ref="P20:AM20"/>
    <mergeCell ref="AN20:AT20"/>
    <mergeCell ref="AU20:BA20"/>
    <mergeCell ref="A17:F17"/>
    <mergeCell ref="G17:O17"/>
    <mergeCell ref="P17:AM17"/>
    <mergeCell ref="AN17:AT17"/>
    <mergeCell ref="AU17:BA17"/>
    <mergeCell ref="A18:F18"/>
    <mergeCell ref="G18:O18"/>
    <mergeCell ref="P18:AM18"/>
    <mergeCell ref="AN18:AT18"/>
    <mergeCell ref="AU18:BA18"/>
    <mergeCell ref="A15:F15"/>
    <mergeCell ref="G15:O15"/>
    <mergeCell ref="P15:AM15"/>
    <mergeCell ref="AN15:AT15"/>
    <mergeCell ref="AU15:BA15"/>
    <mergeCell ref="A16:F16"/>
    <mergeCell ref="G16:O16"/>
    <mergeCell ref="P16:AM16"/>
    <mergeCell ref="AN16:AT16"/>
    <mergeCell ref="AU16:BA16"/>
    <mergeCell ref="A13:F13"/>
    <mergeCell ref="G13:O13"/>
    <mergeCell ref="P13:AM13"/>
    <mergeCell ref="AN13:AT13"/>
    <mergeCell ref="AU13:BA13"/>
    <mergeCell ref="A14:F14"/>
    <mergeCell ref="G14:O14"/>
    <mergeCell ref="P14:AM14"/>
    <mergeCell ref="AN14:AT14"/>
    <mergeCell ref="AU14:BA14"/>
    <mergeCell ref="A1:BA1"/>
    <mergeCell ref="A2:I2"/>
    <mergeCell ref="K2:S2"/>
    <mergeCell ref="U2:AC2"/>
    <mergeCell ref="AE2:AN2"/>
    <mergeCell ref="AP2:BA2"/>
    <mergeCell ref="A12:BA12"/>
    <mergeCell ref="A3:I3"/>
    <mergeCell ref="K3:S3"/>
    <mergeCell ref="U3:AC3"/>
    <mergeCell ref="AE3:AN3"/>
    <mergeCell ref="AP3:BA3"/>
    <mergeCell ref="D4:N4"/>
    <mergeCell ref="AD4:BA4"/>
    <mergeCell ref="A5:BA9"/>
  </mergeCells>
  <pageMargins left="0.6" right="0.6" top="0.5" bottom="0.5" header="0.3" footer="0.3"/>
  <pageSetup orientation="portrait" r:id="rId1"/>
  <headerFooter>
    <oddFooter>&amp;R&amp;8&amp;F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WT for Printing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SOLOMON CHAN</dc:creator>
  <cp:keywords/>
  <dc:description/>
  <cp:lastModifiedBy>Solomon Chan</cp:lastModifiedBy>
  <cp:revision/>
  <dcterms:created xsi:type="dcterms:W3CDTF">2017-11-17T16:27:28Z</dcterms:created>
  <dcterms:modified xsi:type="dcterms:W3CDTF">2026-04-07T15:30:09Z</dcterms:modified>
  <cp:category/>
  <cp:contentStatus/>
</cp:coreProperties>
</file>